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 Dog\Desktop\EFICIENCIA OPERATIVA\EFICIENCIA OPERATIVA 360\RENDIMIENTO 360\"/>
    </mc:Choice>
  </mc:AlternateContent>
  <xr:revisionPtr revIDLastSave="0" documentId="13_ncr:1_{71160D63-C3D5-4A85-BAAE-1F385D2E095A}" xr6:coauthVersionLast="47" xr6:coauthVersionMax="47" xr10:uidLastSave="{00000000-0000-0000-0000-000000000000}"/>
  <bookViews>
    <workbookView xWindow="-108" yWindow="-108" windowWidth="23256" windowHeight="12456" tabRatio="904" xr2:uid="{FA2A32B5-29B1-4DC3-968C-DF63A27E64C9}"/>
  </bookViews>
  <sheets>
    <sheet name="Consolidado" sheetId="16" r:id="rId1"/>
    <sheet name="Petshop" sheetId="1" r:id="rId2"/>
    <sheet name="Grooming" sheetId="10" r:id="rId3"/>
    <sheet name="Clinica" sheetId="12" r:id="rId4"/>
    <sheet name="Parametros" sheetId="8" state="hidden" r:id="rId5"/>
    <sheet name="Riesgo" sheetId="7" state="hidden" r:id="rId6"/>
  </sheets>
  <definedNames>
    <definedName name="_xlnm.Print_Area" localSheetId="3">Clinica!$C$2:$G$19</definedName>
    <definedName name="_xlnm.Print_Area" localSheetId="0">Consolidado!$C$2:$G$20</definedName>
    <definedName name="_xlnm.Print_Area" localSheetId="2">Grooming!$C$2:$G$20</definedName>
    <definedName name="_xlnm.Print_Area" localSheetId="1">Petshop!$C$2:$G$28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6" l="1"/>
  <c r="E20" i="16"/>
  <c r="G11" i="16"/>
  <c r="F19" i="16"/>
  <c r="G19" i="16" s="1"/>
  <c r="F18" i="16"/>
  <c r="F17" i="16"/>
  <c r="E5" i="12"/>
  <c r="E17" i="12"/>
  <c r="E10" i="12"/>
  <c r="D19" i="12"/>
  <c r="G18" i="12"/>
  <c r="G17" i="12" s="1"/>
  <c r="H17" i="12" s="1"/>
  <c r="F17" i="12" s="1"/>
  <c r="F15" i="16"/>
  <c r="G15" i="16" s="1"/>
  <c r="E20" i="10"/>
  <c r="D20" i="10"/>
  <c r="G19" i="10"/>
  <c r="G18" i="10" s="1"/>
  <c r="H18" i="10" s="1"/>
  <c r="F18" i="10" s="1"/>
  <c r="D28" i="1"/>
  <c r="E28" i="1"/>
  <c r="G27" i="1"/>
  <c r="G26" i="1" s="1"/>
  <c r="G16" i="12"/>
  <c r="G15" i="12"/>
  <c r="G14" i="12"/>
  <c r="G13" i="12"/>
  <c r="G12" i="12"/>
  <c r="G15" i="1"/>
  <c r="G9" i="10"/>
  <c r="G19" i="1"/>
  <c r="G6" i="12"/>
  <c r="G11" i="12"/>
  <c r="G7" i="12"/>
  <c r="G9" i="12"/>
  <c r="G8" i="12"/>
  <c r="G17" i="10"/>
  <c r="G16" i="10"/>
  <c r="G14" i="10"/>
  <c r="G13" i="10"/>
  <c r="G12" i="10"/>
  <c r="G10" i="10"/>
  <c r="G8" i="10"/>
  <c r="G7" i="10"/>
  <c r="G6" i="10"/>
  <c r="G7" i="1"/>
  <c r="H26" i="1" l="1"/>
  <c r="F26" i="1" s="1"/>
  <c r="F10" i="16" s="1"/>
  <c r="G10" i="16" s="1"/>
  <c r="E19" i="12"/>
  <c r="G5" i="12"/>
  <c r="G11" i="10"/>
  <c r="G10" i="12"/>
  <c r="H10" i="12" s="1"/>
  <c r="F10" i="12" s="1"/>
  <c r="G18" i="16" s="1"/>
  <c r="G15" i="10"/>
  <c r="H15" i="10" s="1"/>
  <c r="F15" i="10" s="1"/>
  <c r="F14" i="16" s="1"/>
  <c r="G14" i="16" s="1"/>
  <c r="G5" i="10"/>
  <c r="G25" i="1"/>
  <c r="G24" i="1"/>
  <c r="G23" i="1"/>
  <c r="G21" i="1"/>
  <c r="G20" i="1"/>
  <c r="G18" i="1"/>
  <c r="G16" i="1"/>
  <c r="G14" i="1"/>
  <c r="G13" i="1"/>
  <c r="G12" i="1"/>
  <c r="G11" i="1" l="1"/>
  <c r="H11" i="1" s="1"/>
  <c r="F11" i="1" s="1"/>
  <c r="F7" i="16" s="1"/>
  <c r="G7" i="16" s="1"/>
  <c r="G17" i="1"/>
  <c r="G22" i="1"/>
  <c r="H22" i="1" s="1"/>
  <c r="F22" i="1" s="1"/>
  <c r="F9" i="16" s="1"/>
  <c r="G9" i="16" s="1"/>
  <c r="G20" i="12"/>
  <c r="D34" i="12" s="1"/>
  <c r="G34" i="12" s="1"/>
  <c r="H5" i="12"/>
  <c r="F5" i="12" s="1"/>
  <c r="G17" i="16" s="1"/>
  <c r="H11" i="10"/>
  <c r="F11" i="10" s="1"/>
  <c r="F13" i="16" s="1"/>
  <c r="G21" i="10"/>
  <c r="D35" i="10" s="1"/>
  <c r="G35" i="10" s="1"/>
  <c r="H5" i="10"/>
  <c r="F5" i="10" s="1"/>
  <c r="F12" i="16" s="1"/>
  <c r="G9" i="1"/>
  <c r="G6" i="1"/>
  <c r="G10" i="1"/>
  <c r="G8" i="1"/>
  <c r="G16" i="16" l="1"/>
  <c r="H16" i="16" s="1"/>
  <c r="F16" i="16" s="1"/>
  <c r="G12" i="16"/>
  <c r="G13" i="16"/>
  <c r="H11" i="16" s="1"/>
  <c r="F11" i="16" s="1"/>
  <c r="G5" i="1"/>
  <c r="H5" i="1" s="1"/>
  <c r="F5" i="1" s="1"/>
  <c r="F6" i="16" s="1"/>
  <c r="G6" i="16" s="1"/>
  <c r="H17" i="1"/>
  <c r="F17" i="1" s="1"/>
  <c r="F8" i="16" s="1"/>
  <c r="G8" i="16" s="1"/>
  <c r="G5" i="16" l="1"/>
  <c r="G21" i="16" s="1"/>
  <c r="G29" i="1"/>
  <c r="H5" i="16" l="1"/>
  <c r="F5" i="16" s="1"/>
  <c r="D42" i="1"/>
  <c r="G42" i="1" s="1"/>
  <c r="D34" i="16"/>
  <c r="G34" i="16" s="1"/>
</calcChain>
</file>

<file path=xl/sharedStrings.xml><?xml version="1.0" encoding="utf-8"?>
<sst xmlns="http://schemas.openxmlformats.org/spreadsheetml/2006/main" count="259" uniqueCount="155">
  <si>
    <t>PORCENTAJE DE CUMPLIMIENTO</t>
  </si>
  <si>
    <t xml:space="preserve">FECHA: </t>
  </si>
  <si>
    <t xml:space="preserve">GERENTE:
</t>
  </si>
  <si>
    <t xml:space="preserve">SUCURSAL:
</t>
  </si>
  <si>
    <t>ID</t>
  </si>
  <si>
    <t>OP.1</t>
  </si>
  <si>
    <t>OP.2</t>
  </si>
  <si>
    <t>OP.3</t>
  </si>
  <si>
    <t>OP.4</t>
  </si>
  <si>
    <t>Se emiten los comprobantes fiscales/facturas electrónicas por cada transacción (productos y servicios).</t>
  </si>
  <si>
    <t>OP.5</t>
  </si>
  <si>
    <t>AC.1</t>
  </si>
  <si>
    <t>AC.2</t>
  </si>
  <si>
    <t>El personal está capacitado para proporcionar la información correcta sobre cada producto (dieta, cuidado, hábitat).</t>
  </si>
  <si>
    <t>AC.3</t>
  </si>
  <si>
    <t>Se registran y gestionan de forma protocolaria las quejas o incidentes de clientes.</t>
  </si>
  <si>
    <t>AC.4</t>
  </si>
  <si>
    <t>GI.1</t>
  </si>
  <si>
    <t>GI.2</t>
  </si>
  <si>
    <t>GI.3</t>
  </si>
  <si>
    <t>Las estanterías y exhibidores se encuentran organizadas, limpias y surtidas adecuadamente con el stock existente.</t>
  </si>
  <si>
    <t>Los productos pesados o voluminosos están colocados en lugares estables y bajos, evitando riesgos de caída o accidentes.</t>
  </si>
  <si>
    <t>Se implementa y vive la experiencia de marca "BLACK DOG" con el cliente durante la interacción.</t>
  </si>
  <si>
    <t>OBSERVACIONES</t>
  </si>
  <si>
    <t>Aceptable</t>
  </si>
  <si>
    <t>Nivel de Calificación</t>
  </si>
  <si>
    <t>Definición del Riesgo</t>
  </si>
  <si>
    <t xml:space="preserve">Crítico </t>
  </si>
  <si>
    <t xml:space="preserve">Moderado </t>
  </si>
  <si>
    <t xml:space="preserve">Aceptable </t>
  </si>
  <si>
    <t>Riesgo Alto
Fallas mayores en controles clave, incumplimiento de regulaciones esenciales, o debilidades que exponen a la organización a un daño significativo (pérdidas financieras sustanciales, interrupción de servicios, multas o daño reputacional grave).</t>
  </si>
  <si>
    <t>Riesgo Medio
Deficiencias en controles secundarios o inconsistencias significativas en la ejecución del proceso. El impacto potencial es material, pero no catastrófico (errores frecuentes, ineficiencias notables, o incumplimiento parcial de políticas internas).</t>
  </si>
  <si>
    <t>Riesgo Bajo
El proceso opera generalmente bien, con controles clave funcionando. Los hallazgos son menores o son Oportunidades de Mejora (ineficiencias leves, errores aislados, o mejoras sugeridas para optimizar el rendimiento).</t>
  </si>
  <si>
    <t>Moderado</t>
  </si>
  <si>
    <t>Critico</t>
  </si>
  <si>
    <t xml:space="preserve">NIVEL DE RIESGO </t>
  </si>
  <si>
    <t>Se requiere un plan de acción documentado con plazos definidos y asignación de responsables.</t>
  </si>
  <si>
    <t>Se requiere un plan de acción urgente y un seguimiento constante.</t>
  </si>
  <si>
    <t>Ponderación Global</t>
  </si>
  <si>
    <t>Se requiere registrar los ciclos normales de mejora continua.</t>
  </si>
  <si>
    <t>Peso Relativo</t>
  </si>
  <si>
    <t>Resultado Evaluación</t>
  </si>
  <si>
    <t>MULTIPLICADOR</t>
  </si>
  <si>
    <t>Necesita Mejoras</t>
  </si>
  <si>
    <t>CALIFICACIÓN ASPECTO EVALUADO</t>
  </si>
  <si>
    <t>Min</t>
  </si>
  <si>
    <t>Max</t>
  </si>
  <si>
    <t>Satisfactorio</t>
  </si>
  <si>
    <t>Deficiente</t>
  </si>
  <si>
    <t>CALIFICACIÓN ÁREA</t>
  </si>
  <si>
    <t>CALIFICACIÓN GLOBAL</t>
  </si>
  <si>
    <r>
      <rPr>
        <b/>
        <sz val="10"/>
        <color theme="1" tint="4.9989318521683403E-2"/>
        <rFont val="Calibri"/>
        <family val="2"/>
        <scheme val="minor"/>
      </rPr>
      <t>FIRMA DEL GERENTE</t>
    </r>
    <r>
      <rPr>
        <sz val="10"/>
        <color theme="1" tint="4.9989318521683403E-2"/>
        <rFont val="Calibri"/>
        <family val="2"/>
        <scheme val="minor"/>
      </rPr>
      <t xml:space="preserve">
</t>
    </r>
  </si>
  <si>
    <t>Puntos Finales por Área</t>
  </si>
  <si>
    <t>Planificacion</t>
  </si>
  <si>
    <t>ATENCIÓN A CLIENTES</t>
  </si>
  <si>
    <t>Puntos por Área</t>
  </si>
  <si>
    <t>GESTIÓN DE INVENTARIO</t>
  </si>
  <si>
    <t>Aspectos Evaluados</t>
  </si>
  <si>
    <t>Cuentan con un espacio de almacenamiento dentro de las instalaciones para los alimentos no exibidos (evitando plaga, humedad o calor excesivo).</t>
  </si>
  <si>
    <t>Se realiza diariamente la limpieza general de las áreas clave (comedor/descanso, baños, peluquería, piso de venta) y se mantiene un control efectivo de olores dentro de la tienda, especialmente en las áreas cercanas a servicios o alimento.</t>
  </si>
  <si>
    <t>CALIFICACION SUCURSAL</t>
  </si>
  <si>
    <t xml:space="preserve">FECHA:
</t>
  </si>
  <si>
    <t>BIENESTAR ANIMAL</t>
  </si>
  <si>
    <t xml:space="preserve">Se mantiene un protocolo de manejo de animales nerviosos o agresivos </t>
  </si>
  <si>
    <t>BA.1</t>
  </si>
  <si>
    <t>Utilizan equipos de sujecion seguros y adecuados para cada servicio.</t>
  </si>
  <si>
    <t>BA.2</t>
  </si>
  <si>
    <t>Nunca dejan a los animales solos en las bañeras o en las mesas de forma insegura.</t>
  </si>
  <si>
    <t>BA.3</t>
  </si>
  <si>
    <t>BA.4</t>
  </si>
  <si>
    <t>HIGIENE Y DESINFECCION</t>
  </si>
  <si>
    <t>Realizan la limpieza y desinfección de las herramientas (tijeras, cuchillas, cepillos) entre un animal y otro para prevenir la transmisión de parásitos o enfermedades de la piel.</t>
  </si>
  <si>
    <t>HD.1</t>
  </si>
  <si>
    <t>HD.2</t>
  </si>
  <si>
    <t>Mantienen una limpieza diaria de bañeras, mesas y suelo en el area de trabajo.</t>
  </si>
  <si>
    <t>Utilizan los productos (champús, acondicionadores) de grado profesional y adecuados para cada tipo de piel/pelaje.</t>
  </si>
  <si>
    <t>HD.3</t>
  </si>
  <si>
    <t>PERSONAL CAPACITADO</t>
  </si>
  <si>
    <t>PC.1</t>
  </si>
  <si>
    <t>PC.2</t>
  </si>
  <si>
    <t xml:space="preserve">Se cuenta con el personal capacitado o con experiencia en peluqueria </t>
  </si>
  <si>
    <t>Este personal cuenta con conocimientos basicos en primeros auxilios para mascotas</t>
  </si>
  <si>
    <t xml:space="preserve">DOCTOR:
</t>
  </si>
  <si>
    <t>FECHA:</t>
  </si>
  <si>
    <t>GESTION FARMACOLÓGICA</t>
  </si>
  <si>
    <t>GF.1</t>
  </si>
  <si>
    <t>Se verifica la cadena de frío para vacunas y medicamentos termolábiles (registro de temperaturas).</t>
  </si>
  <si>
    <t>GF.2</t>
  </si>
  <si>
    <t>Protocolo de manejo y desecho adecuado de material punzocortante y residuos biológicos (RPBI/Residuos peligrosos).</t>
  </si>
  <si>
    <t>GF.3</t>
  </si>
  <si>
    <t>PROCEDIMIENTO Y REGISTRO MÉDICO</t>
  </si>
  <si>
    <t>Realiza la revisión de la historia clínica de los pacientes (legibilidad, firma del veterinario, consentimiento informado para cirugías cuando aplique.</t>
  </si>
  <si>
    <t>Realiza la revision de disponibilidad y mantenimiento de equipos (laboratorio, anestesia, rayos X, etc.).</t>
  </si>
  <si>
    <t>PR.1</t>
  </si>
  <si>
    <t>PR.2</t>
  </si>
  <si>
    <t>PR.3</t>
  </si>
  <si>
    <t xml:space="preserve">Mantiene un protocolos de limpieza y esterilización del instrumental quirúrgico y de consulta. </t>
  </si>
  <si>
    <t>Mantiene un protocolo de desinfección entre pacientes en mesas de consulta, jaulas y áreas comunes.</t>
  </si>
  <si>
    <t>El HC incluye la identificación completa del propietario, anamnesis o entrevista al propietario, diagnóstico, plan de tratamiento y seguimiento.</t>
  </si>
  <si>
    <t>Se realiza la verificación de los protocolos de comunicación de resultados y el estado de los pacientes a los propietarios (sistema de llamadas o updates).</t>
  </si>
  <si>
    <t xml:space="preserve">EVALUACIÓN EN TIENDA </t>
  </si>
  <si>
    <t>EVALUACIÓN EN PELUQUERIA</t>
  </si>
  <si>
    <t>EVALUACIÓN EN VETERINARIA</t>
  </si>
  <si>
    <t>SEGURIDAD Y LIMPIEZA</t>
  </si>
  <si>
    <t>Todas las jaulas mantienen sus comanda y un correcto cronograma, monitoreando el tiempo máximo de espera y permanencia de los animales.</t>
  </si>
  <si>
    <t>AC.5</t>
  </si>
  <si>
    <t>Se Le envian fotos a los clientes al final de cada servicio realizado en el area de Grooming</t>
  </si>
  <si>
    <t>Sistema FEFO aplicado a medicamentos y alimentos perecederos para la rotación de stock y prevención de pérdidas.</t>
  </si>
  <si>
    <t>Realizan bisemanalmente un control riguroso de la fecha de vencimiento de los alimentos, snacks y los medicamentos de venta libre.</t>
  </si>
  <si>
    <t>GF.4</t>
  </si>
  <si>
    <t>GI.4</t>
  </si>
  <si>
    <t>SL.1</t>
  </si>
  <si>
    <t>SL.2</t>
  </si>
  <si>
    <t>SL.3</t>
  </si>
  <si>
    <t>Se mantiene un debido control y registro de medicamentos restringidos En caso de aplicar.</t>
  </si>
  <si>
    <t>PR.4</t>
  </si>
  <si>
    <t>PR.5</t>
  </si>
  <si>
    <t>PR.6</t>
  </si>
  <si>
    <t>Se realiza el protocolo de cierre de punto de venta al final del día/turno (arqueo, documentación de vouchers y registro de diferencias).</t>
  </si>
  <si>
    <t>Se valida que la venta de medicamentos con receta se realice solo si el cliente presenta el documento, según la ley farmacéutica veterinaria.</t>
  </si>
  <si>
    <t>Se revisa y valida que los descuentos y promociones especiales estén registrados correctamente en el sistema.</t>
  </si>
  <si>
    <t>Se solicita la dotación de mercancía baja en stock (requisición) previo a quedarse sin ella, asegurando un flujo constante de inventario.</t>
  </si>
  <si>
    <t xml:space="preserve">Se realiza el triage en la peluqueria para conocer problemas de piel, alergias, etc.  </t>
  </si>
  <si>
    <t>Realiza el uso obligatorio de Equipo de Protección Personal adecuado para cada procedimiento (guantes desechables, batas, mascarillas, gafas/protectores faciales).</t>
  </si>
  <si>
    <t>OPERACIONES - PUNTO DE VENTA</t>
  </si>
  <si>
    <t>Se ofrece una despedida profesional al cliente (se agradece la compra/servicio) y se confirma si desea agendar algún servicio adicional  (próxima cita, grooming).</t>
  </si>
  <si>
    <t>TIENDA</t>
  </si>
  <si>
    <t>VETERINARIA</t>
  </si>
  <si>
    <t>PELUQUERIA</t>
  </si>
  <si>
    <t>Operaciones - Punto de Venta</t>
  </si>
  <si>
    <t>Atencion a Clientes</t>
  </si>
  <si>
    <t>Gestion de Inventario</t>
  </si>
  <si>
    <t>OP</t>
  </si>
  <si>
    <t>AC</t>
  </si>
  <si>
    <t>GI</t>
  </si>
  <si>
    <t>SL</t>
  </si>
  <si>
    <t>Seguridad y Limpieza</t>
  </si>
  <si>
    <t>Bienestar Animal</t>
  </si>
  <si>
    <t>BA</t>
  </si>
  <si>
    <t>Higiene y Desinfeccion</t>
  </si>
  <si>
    <t>HD</t>
  </si>
  <si>
    <t>Personal Capacitado</t>
  </si>
  <si>
    <t>PC</t>
  </si>
  <si>
    <t>Gestion Farmacológica</t>
  </si>
  <si>
    <t>Procedimiento y Registro Medico</t>
  </si>
  <si>
    <t>GF</t>
  </si>
  <si>
    <t>PR</t>
  </si>
  <si>
    <t>CALIFICACION GLOBAL POR SUCURSAL</t>
  </si>
  <si>
    <t>RENDIMIENTO OPERACIONAL 360°</t>
  </si>
  <si>
    <t>Se mantiene la integridad de precios (el precio marcado en estante o gondola/servicio) cotizado coincide con el precio registrado en el sistema.</t>
  </si>
  <si>
    <t>AE</t>
  </si>
  <si>
    <t>revisión objetiva y honesta del nivel de cumplimiento y riesgo dentro de sus procesos operacionales  </t>
  </si>
  <si>
    <t>AE.1</t>
  </si>
  <si>
    <t>AUTO-DIAGNÓSTICO</t>
  </si>
  <si>
    <t>Auto-Diagnóstico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</si>
</sst>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0.0%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 tint="-0.499984740745262"/>
        <bgColor rgb="FF366092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6" fillId="6" borderId="0" xfId="4" applyFont="1" applyFill="1"/>
    <xf numFmtId="0" fontId="6" fillId="6" borderId="0" xfId="4" applyFont="1" applyFill="1" applyAlignment="1">
      <alignment horizontal="center"/>
    </xf>
    <xf numFmtId="0" fontId="6" fillId="6" borderId="16" xfId="4" applyFont="1" applyFill="1" applyBorder="1"/>
    <xf numFmtId="0" fontId="8" fillId="7" borderId="7" xfId="4" applyFont="1" applyFill="1" applyBorder="1" applyAlignment="1">
      <alignment horizontal="center"/>
    </xf>
    <xf numFmtId="0" fontId="8" fillId="8" borderId="7" xfId="4" applyFont="1" applyFill="1" applyBorder="1" applyAlignment="1">
      <alignment horizontal="center"/>
    </xf>
    <xf numFmtId="0" fontId="8" fillId="9" borderId="7" xfId="4" applyFont="1" applyFill="1" applyBorder="1" applyAlignment="1">
      <alignment horizontal="center"/>
    </xf>
    <xf numFmtId="0" fontId="7" fillId="10" borderId="7" xfId="4" applyFont="1" applyFill="1" applyBorder="1" applyAlignment="1">
      <alignment horizontal="center"/>
    </xf>
    <xf numFmtId="0" fontId="7" fillId="10" borderId="7" xfId="4" applyFont="1" applyFill="1" applyBorder="1" applyAlignment="1">
      <alignment horizontal="left"/>
    </xf>
    <xf numFmtId="0" fontId="8" fillId="11" borderId="7" xfId="4" applyFont="1" applyFill="1" applyBorder="1" applyAlignment="1">
      <alignment horizontal="center"/>
    </xf>
    <xf numFmtId="0" fontId="8" fillId="12" borderId="7" xfId="4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11" fillId="4" borderId="4" xfId="0" applyFont="1" applyFill="1" applyBorder="1" applyAlignment="1">
      <alignment horizontal="center" vertical="center" wrapText="1" readingOrder="1"/>
    </xf>
    <xf numFmtId="0" fontId="12" fillId="0" borderId="13" xfId="0" applyFont="1" applyBorder="1" applyAlignment="1">
      <alignment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/>
    </xf>
    <xf numFmtId="164" fontId="10" fillId="0" borderId="9" xfId="3" applyNumberFormat="1" applyFont="1" applyFill="1" applyBorder="1" applyAlignment="1">
      <alignment horizontal="center" vertical="center"/>
    </xf>
    <xf numFmtId="164" fontId="10" fillId="0" borderId="10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9" fontId="10" fillId="0" borderId="12" xfId="2" applyFont="1" applyFill="1" applyBorder="1" applyAlignment="1">
      <alignment horizontal="center" vertical="center"/>
    </xf>
    <xf numFmtId="2" fontId="6" fillId="6" borderId="0" xfId="0" applyNumberFormat="1" applyFont="1" applyFill="1" applyAlignment="1">
      <alignment horizontal="center"/>
    </xf>
    <xf numFmtId="0" fontId="8" fillId="0" borderId="16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/>
    <xf numFmtId="0" fontId="12" fillId="0" borderId="1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6" fillId="0" borderId="0" xfId="0" applyFont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164" fontId="15" fillId="0" borderId="0" xfId="3" applyNumberFormat="1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164" fontId="15" fillId="13" borderId="25" xfId="3" applyNumberFormat="1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40" xfId="0" applyFont="1" applyBorder="1" applyAlignment="1">
      <alignment horizontal="center" vertical="center" wrapText="1"/>
    </xf>
    <xf numFmtId="2" fontId="6" fillId="6" borderId="7" xfId="4" applyNumberFormat="1" applyFont="1" applyFill="1" applyBorder="1" applyAlignment="1">
      <alignment horizontal="center"/>
    </xf>
    <xf numFmtId="9" fontId="15" fillId="14" borderId="0" xfId="0" applyNumberFormat="1" applyFont="1" applyFill="1" applyAlignment="1">
      <alignment horizontal="center" vertical="center" wrapText="1"/>
    </xf>
    <xf numFmtId="164" fontId="15" fillId="14" borderId="0" xfId="3" applyNumberFormat="1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164" fontId="15" fillId="14" borderId="25" xfId="3" applyNumberFormat="1" applyFont="1" applyFill="1" applyBorder="1" applyAlignment="1">
      <alignment horizontal="center" vertical="center" wrapText="1"/>
    </xf>
    <xf numFmtId="165" fontId="6" fillId="6" borderId="7" xfId="4" applyNumberFormat="1" applyFont="1" applyFill="1" applyBorder="1" applyAlignment="1">
      <alignment horizontal="center"/>
    </xf>
    <xf numFmtId="165" fontId="6" fillId="6" borderId="0" xfId="0" applyNumberFormat="1" applyFont="1" applyFill="1" applyAlignment="1">
      <alignment horizontal="center"/>
    </xf>
    <xf numFmtId="0" fontId="23" fillId="13" borderId="41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165" fontId="9" fillId="0" borderId="26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14" borderId="0" xfId="0" applyFont="1" applyFill="1" applyAlignment="1">
      <alignment horizontal="left" vertical="center"/>
    </xf>
    <xf numFmtId="0" fontId="20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6" fontId="10" fillId="0" borderId="12" xfId="2" applyNumberFormat="1" applyFont="1" applyFill="1" applyBorder="1" applyAlignment="1">
      <alignment horizontal="center" vertical="center"/>
    </xf>
    <xf numFmtId="166" fontId="15" fillId="14" borderId="0" xfId="0" applyNumberFormat="1" applyFont="1" applyFill="1" applyAlignment="1">
      <alignment horizontal="center" vertical="center" wrapText="1"/>
    </xf>
    <xf numFmtId="0" fontId="15" fillId="14" borderId="29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22" fillId="14" borderId="37" xfId="0" applyFont="1" applyFill="1" applyBorder="1" applyAlignment="1">
      <alignment horizontal="center" vertical="center" wrapText="1"/>
    </xf>
    <xf numFmtId="0" fontId="22" fillId="14" borderId="38" xfId="0" applyFont="1" applyFill="1" applyBorder="1" applyAlignment="1">
      <alignment horizontal="center" vertical="center" wrapText="1"/>
    </xf>
    <xf numFmtId="0" fontId="22" fillId="14" borderId="39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5" fillId="14" borderId="27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7" fillId="0" borderId="2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7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21" fillId="14" borderId="0" xfId="0" applyNumberFormat="1" applyFont="1" applyFill="1" applyAlignment="1">
      <alignment horizontal="left" vertical="center"/>
    </xf>
    <xf numFmtId="164" fontId="21" fillId="14" borderId="25" xfId="0" applyNumberFormat="1" applyFont="1" applyFill="1" applyBorder="1" applyAlignment="1">
      <alignment horizontal="left" vertical="center"/>
    </xf>
    <xf numFmtId="0" fontId="15" fillId="14" borderId="33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64" fontId="21" fillId="14" borderId="0" xfId="0" applyNumberFormat="1" applyFont="1" applyFill="1" applyAlignment="1">
      <alignment horizontal="center" vertical="center"/>
    </xf>
    <xf numFmtId="164" fontId="21" fillId="14" borderId="25" xfId="0" applyNumberFormat="1" applyFont="1" applyFill="1" applyBorder="1" applyAlignment="1">
      <alignment horizontal="center" vertical="center"/>
    </xf>
    <xf numFmtId="0" fontId="15" fillId="14" borderId="24" xfId="0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</cellXfs>
  <cellStyles count="5">
    <cellStyle name="Millares" xfId="3" builtinId="3"/>
    <cellStyle name="Normal" xfId="0" builtinId="0"/>
    <cellStyle name="Normal 2" xfId="1" xr:uid="{3A5717F4-9507-49C3-B5DF-6A041BCEA307}"/>
    <cellStyle name="Normal 3" xfId="4" xr:uid="{1D427407-6A50-47B3-90DD-5F52F3175AC8}"/>
    <cellStyle name="Porcentaje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</xdr:row>
      <xdr:rowOff>15240</xdr:rowOff>
    </xdr:from>
    <xdr:to>
      <xdr:col>2</xdr:col>
      <xdr:colOff>1638300</xdr:colOff>
      <xdr:row>2</xdr:row>
      <xdr:rowOff>137160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C640CE-4908-4F20-B959-86D87B46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0" y="198120"/>
          <a:ext cx="1348740" cy="1348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</xdr:row>
      <xdr:rowOff>15240</xdr:rowOff>
    </xdr:from>
    <xdr:to>
      <xdr:col>2</xdr:col>
      <xdr:colOff>1638300</xdr:colOff>
      <xdr:row>2</xdr:row>
      <xdr:rowOff>137160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585599-194E-C91E-E09A-A3C73715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0" y="198120"/>
          <a:ext cx="1348740" cy="1348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</xdr:row>
      <xdr:rowOff>15240</xdr:rowOff>
    </xdr:from>
    <xdr:to>
      <xdr:col>2</xdr:col>
      <xdr:colOff>1638300</xdr:colOff>
      <xdr:row>2</xdr:row>
      <xdr:rowOff>137160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D56041-5A81-458A-8D04-BBCEE9DB1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0" y="198120"/>
          <a:ext cx="1348740" cy="1348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</xdr:row>
      <xdr:rowOff>15240</xdr:rowOff>
    </xdr:from>
    <xdr:to>
      <xdr:col>2</xdr:col>
      <xdr:colOff>1638300</xdr:colOff>
      <xdr:row>2</xdr:row>
      <xdr:rowOff>137160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37809C-DC75-45D7-A4D3-F0A7C373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0" y="198120"/>
          <a:ext cx="1348740" cy="1348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106680</xdr:rowOff>
    </xdr:from>
    <xdr:to>
      <xdr:col>1</xdr:col>
      <xdr:colOff>525780</xdr:colOff>
      <xdr:row>8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5704C4-28E1-43AD-B97B-5EE9095CF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106680"/>
          <a:ext cx="1348740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6ABB-852B-440F-95D0-B3BD799EA9B1}">
  <sheetPr>
    <pageSetUpPr fitToPage="1"/>
  </sheetPr>
  <dimension ref="B1:M44"/>
  <sheetViews>
    <sheetView showGridLines="0" tabSelected="1" zoomScaleNormal="100" workbookViewId="0">
      <selection activeCell="C36" sqref="C36"/>
    </sheetView>
  </sheetViews>
  <sheetFormatPr baseColWidth="10" defaultColWidth="8.77734375" defaultRowHeight="13.8" x14ac:dyDescent="0.25"/>
  <cols>
    <col min="1" max="1" width="8.77734375" style="23"/>
    <col min="2" max="2" width="5.5546875" style="23" customWidth="1"/>
    <col min="3" max="3" width="60" style="23" customWidth="1"/>
    <col min="4" max="4" width="11.21875" style="23" customWidth="1"/>
    <col min="5" max="5" width="9.44140625" style="23" customWidth="1"/>
    <col min="6" max="6" width="21.5546875" style="23" customWidth="1"/>
    <col min="7" max="7" width="29.5546875" style="23" customWidth="1"/>
    <col min="8" max="8" width="10" style="23" customWidth="1"/>
    <col min="9" max="237" width="11.44140625" style="23" customWidth="1"/>
    <col min="238" max="16384" width="8.77734375" style="23"/>
  </cols>
  <sheetData>
    <row r="1" spans="2:13" ht="14.4" thickBot="1" x14ac:dyDescent="0.3"/>
    <row r="2" spans="2:13" ht="96.6" customHeight="1" thickBot="1" x14ac:dyDescent="0.3">
      <c r="B2" s="72" t="s">
        <v>148</v>
      </c>
      <c r="C2" s="73"/>
      <c r="D2" s="73"/>
      <c r="E2" s="73"/>
      <c r="F2" s="73"/>
      <c r="G2" s="74"/>
    </row>
    <row r="3" spans="2:13" ht="33.75" customHeight="1" x14ac:dyDescent="0.25">
      <c r="B3" s="75" t="s">
        <v>3</v>
      </c>
      <c r="C3" s="76"/>
      <c r="D3" s="76"/>
      <c r="E3" s="76"/>
      <c r="F3" s="77"/>
      <c r="G3" s="56" t="s">
        <v>1</v>
      </c>
    </row>
    <row r="4" spans="2:13" s="20" customFormat="1" ht="27.6" x14ac:dyDescent="0.25">
      <c r="B4" s="34" t="s">
        <v>4</v>
      </c>
      <c r="C4" s="35" t="s">
        <v>57</v>
      </c>
      <c r="D4" s="35" t="s">
        <v>38</v>
      </c>
      <c r="E4" s="35" t="s">
        <v>40</v>
      </c>
      <c r="F4" s="35" t="s">
        <v>41</v>
      </c>
      <c r="G4" s="36" t="s">
        <v>52</v>
      </c>
      <c r="H4" s="37" t="s">
        <v>55</v>
      </c>
      <c r="I4" s="23"/>
      <c r="J4" s="23"/>
      <c r="K4" s="23"/>
    </row>
    <row r="5" spans="2:13" s="20" customFormat="1" ht="33.75" customHeight="1" thickBot="1" x14ac:dyDescent="0.3">
      <c r="B5" s="78" t="s">
        <v>126</v>
      </c>
      <c r="C5" s="79"/>
      <c r="D5" s="49">
        <v>0.35</v>
      </c>
      <c r="E5" s="50">
        <v>35</v>
      </c>
      <c r="F5" s="51" t="str">
        <f>IF(AND(H5&gt;Parametros!$C$10,H5&lt;Parametros!$D$10),"Critico",IF(AND(H5&gt;Parametros!$C$11,H5&lt;Parametros!$D$11),"Moderado",IF(AND(H5&gt;Parametros!$C$12,H5&lt;=Parametros!$D$12),"Aceptable")))</f>
        <v>Critico</v>
      </c>
      <c r="G5" s="52">
        <f>SUM(G6:G10)</f>
        <v>10.899999999999999</v>
      </c>
      <c r="H5" s="50">
        <f>G5/E5</f>
        <v>0.31142857142857139</v>
      </c>
      <c r="I5" s="23"/>
      <c r="J5" s="23"/>
      <c r="K5" s="23"/>
      <c r="M5" s="57"/>
    </row>
    <row r="6" spans="2:13" ht="14.4" thickBot="1" x14ac:dyDescent="0.3">
      <c r="B6" s="39" t="s">
        <v>132</v>
      </c>
      <c r="C6" s="40" t="s">
        <v>129</v>
      </c>
      <c r="D6" s="68">
        <v>0.25</v>
      </c>
      <c r="E6" s="22">
        <v>9</v>
      </c>
      <c r="F6" s="58" t="str">
        <f>Petshop!F5</f>
        <v>Critico</v>
      </c>
      <c r="G6" s="60">
        <f>IF(F6="Aceptable", +(E6*Parametros!$C$7), IF(F6="Moderado", +(E6*Parametros!$C$6), IF(F6="Critico", (E6*Parametros!$C$5))))</f>
        <v>2.6999999999999997</v>
      </c>
    </row>
    <row r="7" spans="2:13" ht="14.4" thickBot="1" x14ac:dyDescent="0.3">
      <c r="B7" s="39" t="s">
        <v>133</v>
      </c>
      <c r="C7" s="40" t="s">
        <v>130</v>
      </c>
      <c r="D7" s="68">
        <v>0.25</v>
      </c>
      <c r="E7" s="22">
        <v>9</v>
      </c>
      <c r="F7" s="58" t="str">
        <f>Petshop!F11</f>
        <v>Critico</v>
      </c>
      <c r="G7" s="60">
        <f>IF(F7="Aceptable", +(E7*Parametros!$C$7), IF(F7="Moderado", +(E7*Parametros!$C$6), IF(F7="Critico", (E7*Parametros!$C$5))))</f>
        <v>2.6999999999999997</v>
      </c>
    </row>
    <row r="8" spans="2:13" ht="14.4" thickBot="1" x14ac:dyDescent="0.3">
      <c r="B8" s="39" t="s">
        <v>134</v>
      </c>
      <c r="C8" s="40" t="s">
        <v>131</v>
      </c>
      <c r="D8" s="68">
        <v>0.25</v>
      </c>
      <c r="E8" s="22">
        <v>9</v>
      </c>
      <c r="F8" s="58" t="str">
        <f>Petshop!F17</f>
        <v>Critico</v>
      </c>
      <c r="G8" s="60">
        <f>IF(F8="Aceptable", +(E8*Parametros!$C$7), IF(F8="Moderado", +(E8*Parametros!$C$6), IF(F8="Critico", (E8*Parametros!$C$5))))</f>
        <v>2.6999999999999997</v>
      </c>
    </row>
    <row r="9" spans="2:13" ht="14.4" thickBot="1" x14ac:dyDescent="0.3">
      <c r="B9" s="39" t="s">
        <v>135</v>
      </c>
      <c r="C9" s="40" t="s">
        <v>136</v>
      </c>
      <c r="D9" s="68">
        <v>0.2</v>
      </c>
      <c r="E9" s="22">
        <v>7</v>
      </c>
      <c r="F9" s="58" t="str">
        <f>Petshop!F22</f>
        <v>Critico</v>
      </c>
      <c r="G9" s="60">
        <f>IF(F9="Aceptable", +(E9*Parametros!$C$7), IF(F9="Moderado", +(E9*Parametros!$C$6), IF(F9="Critico", (E9*Parametros!$C$5))))</f>
        <v>2.1</v>
      </c>
    </row>
    <row r="10" spans="2:13" ht="14.4" thickBot="1" x14ac:dyDescent="0.3">
      <c r="B10" s="39" t="s">
        <v>150</v>
      </c>
      <c r="C10" s="40" t="s">
        <v>154</v>
      </c>
      <c r="D10" s="68">
        <v>0.05</v>
      </c>
      <c r="E10" s="22">
        <v>1</v>
      </c>
      <c r="F10" s="58" t="str">
        <f>Petshop!F26</f>
        <v>Moderado</v>
      </c>
      <c r="G10" s="60">
        <f>IF(F10="Aceptable", +(E10*Parametros!$C$7), IF(F10="Moderado", +(E10*Parametros!$C$6), IF(F10="Critico", (E10*Parametros!$C$5))))</f>
        <v>0.7</v>
      </c>
    </row>
    <row r="11" spans="2:13" ht="34.799999999999997" customHeight="1" thickBot="1" x14ac:dyDescent="0.3">
      <c r="B11" s="78" t="s">
        <v>128</v>
      </c>
      <c r="C11" s="79"/>
      <c r="D11" s="49">
        <v>0.35</v>
      </c>
      <c r="E11" s="50">
        <v>35</v>
      </c>
      <c r="F11" s="51" t="str">
        <f>IF(AND(H11&gt;Parametros!$C$10,H11&lt;Parametros!$D$10),"Critico",IF(AND(H11&gt;Parametros!$C$11,H11&lt;Parametros!$D$11),"Moderado",IF(AND(H11&gt;Parametros!$C$12,H11&lt;=Parametros!$D$12),"Aceptable")))</f>
        <v>Aceptable</v>
      </c>
      <c r="G11" s="52">
        <f>SUM(G12:G15)</f>
        <v>34.299999999999997</v>
      </c>
      <c r="H11" s="50">
        <f>G11/E11</f>
        <v>0.97999999999999987</v>
      </c>
    </row>
    <row r="12" spans="2:13" ht="14.4" thickBot="1" x14ac:dyDescent="0.3">
      <c r="B12" s="39" t="s">
        <v>138</v>
      </c>
      <c r="C12" s="40" t="s">
        <v>137</v>
      </c>
      <c r="D12" s="68">
        <v>0.45</v>
      </c>
      <c r="E12" s="22">
        <v>17</v>
      </c>
      <c r="F12" s="58" t="str">
        <f>Grooming!F5</f>
        <v>Aceptable</v>
      </c>
      <c r="G12" s="60">
        <f>IF(F13="Aceptable", +(E12*Parametros!$C$7), IF(F13="Moderado", +(E12*Parametros!$C$6), IF(F13="Critico", (E12*Parametros!$C$5))))</f>
        <v>17</v>
      </c>
    </row>
    <row r="13" spans="2:13" ht="14.4" thickBot="1" x14ac:dyDescent="0.3">
      <c r="B13" s="39" t="s">
        <v>140</v>
      </c>
      <c r="C13" s="40" t="s">
        <v>139</v>
      </c>
      <c r="D13" s="68">
        <v>0.3</v>
      </c>
      <c r="E13" s="22">
        <v>10</v>
      </c>
      <c r="F13" s="58" t="str">
        <f>Grooming!F11</f>
        <v>Aceptable</v>
      </c>
      <c r="G13" s="60">
        <f>IF(F13="Aceptable", +(E13*Parametros!$C$7), IF(F13="Moderado", +(E13*Parametros!$C$6), IF(F13="Critico", (E13*Parametros!$C$5))))</f>
        <v>10</v>
      </c>
    </row>
    <row r="14" spans="2:13" ht="14.4" thickBot="1" x14ac:dyDescent="0.3">
      <c r="B14" s="39" t="s">
        <v>142</v>
      </c>
      <c r="C14" s="40" t="s">
        <v>141</v>
      </c>
      <c r="D14" s="68">
        <v>0.2</v>
      </c>
      <c r="E14" s="22">
        <v>7</v>
      </c>
      <c r="F14" s="58" t="str">
        <f>Grooming!F15</f>
        <v>Aceptable</v>
      </c>
      <c r="G14" s="60">
        <f>IF(F14="Aceptable", +(E14*Parametros!$C$7), IF(F14="Moderado", +(E14*Parametros!$C$6), IF(F14="Critico", (E14*Parametros!$C$5))))</f>
        <v>7</v>
      </c>
    </row>
    <row r="15" spans="2:13" ht="14.4" thickBot="1" x14ac:dyDescent="0.3">
      <c r="B15" s="39" t="s">
        <v>150</v>
      </c>
      <c r="C15" s="40" t="s">
        <v>154</v>
      </c>
      <c r="D15" s="68">
        <v>0.05</v>
      </c>
      <c r="E15" s="22">
        <v>1</v>
      </c>
      <c r="F15" s="58" t="str">
        <f>Grooming!F18</f>
        <v>Critico</v>
      </c>
      <c r="G15" s="60">
        <f>IF(F15="Aceptable", +(E15*Parametros!$C$7), IF(F15="Moderado", +(E15*Parametros!$C$6), IF(F15="Critico", (E15*Parametros!$C$5))))</f>
        <v>0.3</v>
      </c>
    </row>
    <row r="16" spans="2:13" ht="33" customHeight="1" thickBot="1" x14ac:dyDescent="0.3">
      <c r="B16" s="70" t="s">
        <v>127</v>
      </c>
      <c r="C16" s="71"/>
      <c r="D16" s="49">
        <v>0.3</v>
      </c>
      <c r="E16" s="50">
        <v>30</v>
      </c>
      <c r="F16" s="51" t="str">
        <f>IF(AND(H16&gt;Parametros!$C$10,H16&lt;Parametros!$D$10),"Critico",IF(AND(H16&gt;Parametros!$C$11,H16&lt;Parametros!$D$11),"Moderado",IF(AND(H16&gt;Parametros!$C$12,H16&lt;=Parametros!$D$12),"Aceptable")))</f>
        <v>Aceptable</v>
      </c>
      <c r="G16" s="52">
        <f>SUM(G17:G19)</f>
        <v>29.3</v>
      </c>
      <c r="H16" s="50">
        <f>G16/E16</f>
        <v>0.97666666666666668</v>
      </c>
    </row>
    <row r="17" spans="2:8" ht="14.4" thickBot="1" x14ac:dyDescent="0.3">
      <c r="B17" s="39" t="s">
        <v>145</v>
      </c>
      <c r="C17" s="40" t="s">
        <v>143</v>
      </c>
      <c r="D17" s="68">
        <v>0.47499999999999998</v>
      </c>
      <c r="E17" s="22">
        <v>14.5</v>
      </c>
      <c r="F17" s="58" t="str">
        <f>Clinica!F5</f>
        <v>Aceptable</v>
      </c>
      <c r="G17" s="60">
        <f>IF(F17="Aceptable", +(E17*Parametros!$C$7), IF(F17="Moderado", +(E17*Parametros!$C$6), IF(F17="Critico", (E17*Parametros!$C$5))))</f>
        <v>14.5</v>
      </c>
    </row>
    <row r="18" spans="2:8" ht="14.4" thickBot="1" x14ac:dyDescent="0.3">
      <c r="B18" s="39" t="s">
        <v>146</v>
      </c>
      <c r="C18" s="40" t="s">
        <v>144</v>
      </c>
      <c r="D18" s="68">
        <v>0.47499999999999998</v>
      </c>
      <c r="E18" s="22">
        <v>14.5</v>
      </c>
      <c r="F18" s="58" t="str">
        <f>Clinica!F10</f>
        <v>Aceptable</v>
      </c>
      <c r="G18" s="60">
        <f>IF(F18="Aceptable", +(E18*Parametros!$C$7), IF(F18="Moderado", +(E18*Parametros!$C$6), IF(F18="Critico", (E18*Parametros!$C$5))))</f>
        <v>14.5</v>
      </c>
    </row>
    <row r="19" spans="2:8" ht="14.4" thickBot="1" x14ac:dyDescent="0.3">
      <c r="B19" s="39" t="s">
        <v>150</v>
      </c>
      <c r="C19" s="40" t="s">
        <v>154</v>
      </c>
      <c r="D19" s="68">
        <v>0.05</v>
      </c>
      <c r="E19" s="22">
        <v>1</v>
      </c>
      <c r="F19" s="58" t="str">
        <f>Clinica!F17</f>
        <v>Critico</v>
      </c>
      <c r="G19" s="60">
        <f>IF(F19="Aceptable", +(E19*Parametros!$C$7), IF(F19="Moderado", +(E19*Parametros!$C$6), IF(F19="Critico", (E19*Parametros!$C$5))))</f>
        <v>0.3</v>
      </c>
    </row>
    <row r="20" spans="2:8" ht="36" customHeight="1" x14ac:dyDescent="0.25">
      <c r="B20" s="80"/>
      <c r="C20" s="81"/>
      <c r="D20" s="49">
        <f>D5+D11+D16</f>
        <v>1</v>
      </c>
      <c r="E20" s="50">
        <f>E5+E11+E16</f>
        <v>100</v>
      </c>
      <c r="F20" s="31"/>
      <c r="G20" s="32"/>
    </row>
    <row r="21" spans="2:8" ht="27.6" customHeight="1" x14ac:dyDescent="0.25">
      <c r="B21" s="82" t="s">
        <v>0</v>
      </c>
      <c r="C21" s="83"/>
      <c r="D21" s="38"/>
      <c r="E21" s="38"/>
      <c r="F21" s="38"/>
      <c r="G21" s="52">
        <f>G5+G11+G16</f>
        <v>74.5</v>
      </c>
      <c r="H21" s="33"/>
    </row>
    <row r="22" spans="2:8" ht="27.6" customHeight="1" x14ac:dyDescent="0.25">
      <c r="B22" s="61"/>
      <c r="C22" s="62"/>
      <c r="D22" s="38"/>
      <c r="E22" s="38"/>
      <c r="F22" s="38"/>
      <c r="G22" s="41"/>
      <c r="H22" s="33"/>
    </row>
    <row r="23" spans="2:8" ht="55.2" customHeight="1" thickBot="1" x14ac:dyDescent="0.3">
      <c r="B23" s="84" t="s">
        <v>51</v>
      </c>
      <c r="C23" s="85"/>
      <c r="D23" s="42"/>
      <c r="E23" s="42"/>
      <c r="F23" s="45"/>
      <c r="G23" s="46"/>
    </row>
    <row r="24" spans="2:8" ht="24.6" customHeight="1" thickBot="1" x14ac:dyDescent="0.3">
      <c r="B24" s="44"/>
      <c r="C24" s="47"/>
      <c r="D24" s="42"/>
      <c r="E24" s="42"/>
      <c r="F24" s="42"/>
      <c r="G24" s="43"/>
    </row>
    <row r="25" spans="2:8" x14ac:dyDescent="0.25">
      <c r="B25" s="31"/>
      <c r="D25" s="86"/>
      <c r="E25" s="86"/>
      <c r="F25" s="86"/>
      <c r="G25" s="86"/>
    </row>
    <row r="26" spans="2:8" ht="14.4" thickBot="1" x14ac:dyDescent="0.3">
      <c r="B26" s="31"/>
      <c r="D26" s="86"/>
      <c r="E26" s="86"/>
      <c r="F26" s="86"/>
      <c r="G26" s="86"/>
    </row>
    <row r="27" spans="2:8" ht="24" hidden="1" customHeight="1" x14ac:dyDescent="0.25">
      <c r="B27" s="89" t="s">
        <v>23</v>
      </c>
      <c r="C27" s="90"/>
      <c r="D27" s="90"/>
      <c r="E27" s="90"/>
      <c r="F27" s="90"/>
      <c r="G27" s="91"/>
    </row>
    <row r="28" spans="2:8" hidden="1" x14ac:dyDescent="0.25">
      <c r="B28" s="92">
        <v>1</v>
      </c>
      <c r="C28" s="93"/>
      <c r="D28" s="93"/>
      <c r="E28" s="93"/>
      <c r="F28" s="93"/>
      <c r="G28" s="94"/>
    </row>
    <row r="29" spans="2:8" hidden="1" x14ac:dyDescent="0.25">
      <c r="B29" s="92">
        <v>2</v>
      </c>
      <c r="C29" s="93"/>
      <c r="D29" s="93"/>
      <c r="E29" s="93"/>
      <c r="F29" s="93"/>
      <c r="G29" s="94"/>
    </row>
    <row r="30" spans="2:8" hidden="1" x14ac:dyDescent="0.25">
      <c r="B30" s="92">
        <v>3</v>
      </c>
      <c r="C30" s="93"/>
      <c r="D30" s="93"/>
      <c r="E30" s="93"/>
      <c r="F30" s="93"/>
      <c r="G30" s="94"/>
    </row>
    <row r="31" spans="2:8" hidden="1" x14ac:dyDescent="0.25">
      <c r="B31" s="92">
        <v>4</v>
      </c>
      <c r="C31" s="93"/>
      <c r="D31" s="93"/>
      <c r="E31" s="93"/>
      <c r="F31" s="93"/>
      <c r="G31" s="94"/>
    </row>
    <row r="32" spans="2:8" hidden="1" x14ac:dyDescent="0.25">
      <c r="B32" s="92">
        <v>5</v>
      </c>
      <c r="C32" s="93"/>
      <c r="D32" s="93"/>
      <c r="E32" s="93"/>
      <c r="F32" s="93"/>
      <c r="G32" s="94"/>
    </row>
    <row r="33" spans="2:7" ht="14.4" hidden="1" thickBot="1" x14ac:dyDescent="0.3">
      <c r="B33" s="63"/>
      <c r="D33" s="64"/>
      <c r="E33" s="64"/>
    </row>
    <row r="34" spans="2:7" ht="49.8" customHeight="1" thickBot="1" x14ac:dyDescent="0.3">
      <c r="C34" s="65" t="s">
        <v>147</v>
      </c>
      <c r="D34" s="87">
        <f>G21</f>
        <v>74.5</v>
      </c>
      <c r="E34" s="87"/>
      <c r="F34" s="88"/>
      <c r="G34" s="55" t="str">
        <f>IF(AND(D34&gt;Parametros!$C$15,D34&lt;=Parametros!$D$15),"DEFICIENTE",IF(AND(D34&gt;Parametros!$C$16,D34&lt;=Parametros!$D$16),"NECESITA MEJORAS",IF(AND(D34&gt;Parametros!$C$17,D34&lt;=Parametros!$D$17),"SATISFACTORIO")))</f>
        <v>NECESITA MEJORAS</v>
      </c>
    </row>
    <row r="35" spans="2:7" x14ac:dyDescent="0.25">
      <c r="D35" s="64"/>
      <c r="E35" s="64"/>
    </row>
    <row r="36" spans="2:7" x14ac:dyDescent="0.25">
      <c r="C36" s="66" t="s">
        <v>24</v>
      </c>
    </row>
    <row r="37" spans="2:7" x14ac:dyDescent="0.25">
      <c r="C37" s="66" t="s">
        <v>33</v>
      </c>
      <c r="D37" s="64"/>
      <c r="E37" s="64"/>
    </row>
    <row r="38" spans="2:7" x14ac:dyDescent="0.25">
      <c r="C38" s="66" t="s">
        <v>34</v>
      </c>
      <c r="D38" s="64"/>
      <c r="E38" s="64"/>
    </row>
    <row r="39" spans="2:7" x14ac:dyDescent="0.25">
      <c r="D39" s="64"/>
      <c r="E39" s="64"/>
    </row>
    <row r="40" spans="2:7" x14ac:dyDescent="0.25">
      <c r="C40" s="64"/>
      <c r="D40" s="64"/>
      <c r="E40" s="64"/>
    </row>
    <row r="41" spans="2:7" x14ac:dyDescent="0.25">
      <c r="C41" s="64"/>
    </row>
    <row r="42" spans="2:7" x14ac:dyDescent="0.25">
      <c r="C42" s="64"/>
    </row>
    <row r="43" spans="2:7" x14ac:dyDescent="0.25">
      <c r="C43" s="64"/>
    </row>
    <row r="44" spans="2:7" x14ac:dyDescent="0.25">
      <c r="C44" s="64"/>
    </row>
  </sheetData>
  <sheetProtection autoFilter="0" pivotTables="0"/>
  <protectedRanges>
    <protectedRange sqref="B23:B26 D20:G20" name="Rango7"/>
    <protectedRange sqref="J5 D3:G3 C4:F4 F5 G34 F11 F16 B3:B4" name="Rango1"/>
    <protectedRange sqref="D23:G30" name="Rango9"/>
    <protectedRange sqref="D5:E5" name="Rango1_1"/>
    <protectedRange sqref="B5" name="Rango1_2"/>
    <protectedRange sqref="D11:E11" name="Rango1_3"/>
  </protectedRanges>
  <mergeCells count="18">
    <mergeCell ref="D34:F34"/>
    <mergeCell ref="B27:G27"/>
    <mergeCell ref="B28:G28"/>
    <mergeCell ref="B29:G29"/>
    <mergeCell ref="B30:G30"/>
    <mergeCell ref="B31:G31"/>
    <mergeCell ref="B32:G32"/>
    <mergeCell ref="B20:C20"/>
    <mergeCell ref="B21:C21"/>
    <mergeCell ref="B23:C23"/>
    <mergeCell ref="D25:G25"/>
    <mergeCell ref="D26:G26"/>
    <mergeCell ref="B16:C16"/>
    <mergeCell ref="B2:G2"/>
    <mergeCell ref="B3:C3"/>
    <mergeCell ref="D3:F3"/>
    <mergeCell ref="B5:C5"/>
    <mergeCell ref="B11:C11"/>
  </mergeCells>
  <printOptions horizontalCentered="1" verticalCentered="1"/>
  <pageMargins left="0.23622047244094491" right="0.23622047244094491" top="0.98425196850393704" bottom="0.98425196850393704" header="0" footer="0"/>
  <pageSetup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E4F4-6E10-4DB0-83C7-BF14A8F821FB}">
  <sheetPr>
    <pageSetUpPr fitToPage="1"/>
  </sheetPr>
  <dimension ref="B1:M52"/>
  <sheetViews>
    <sheetView showGridLines="0" topLeftCell="A22" zoomScaleNormal="100" workbookViewId="0">
      <selection activeCell="F7" sqref="F7"/>
    </sheetView>
  </sheetViews>
  <sheetFormatPr baseColWidth="10" defaultColWidth="8.77734375" defaultRowHeight="13.8" x14ac:dyDescent="0.25"/>
  <cols>
    <col min="1" max="1" width="8.77734375" style="23"/>
    <col min="2" max="2" width="5.5546875" style="23" customWidth="1"/>
    <col min="3" max="3" width="60" style="23" customWidth="1"/>
    <col min="4" max="4" width="11.21875" style="23" customWidth="1"/>
    <col min="5" max="5" width="9.44140625" style="23" customWidth="1"/>
    <col min="6" max="6" width="21.5546875" style="23" customWidth="1"/>
    <col min="7" max="7" width="26.44140625" style="23" customWidth="1"/>
    <col min="8" max="8" width="10" style="23" customWidth="1"/>
    <col min="9" max="237" width="11.44140625" style="23" customWidth="1"/>
    <col min="238" max="16384" width="8.77734375" style="23"/>
  </cols>
  <sheetData>
    <row r="1" spans="2:13" ht="14.4" thickBot="1" x14ac:dyDescent="0.3"/>
    <row r="2" spans="2:13" ht="96.6" customHeight="1" thickBot="1" x14ac:dyDescent="0.3">
      <c r="B2" s="72" t="s">
        <v>100</v>
      </c>
      <c r="C2" s="73"/>
      <c r="D2" s="73"/>
      <c r="E2" s="73"/>
      <c r="F2" s="73"/>
      <c r="G2" s="74"/>
    </row>
    <row r="3" spans="2:13" ht="33.75" customHeight="1" x14ac:dyDescent="0.25">
      <c r="B3" s="75" t="s">
        <v>3</v>
      </c>
      <c r="C3" s="76"/>
      <c r="D3" s="76" t="s">
        <v>2</v>
      </c>
      <c r="E3" s="76"/>
      <c r="F3" s="77"/>
      <c r="G3" s="56" t="s">
        <v>1</v>
      </c>
    </row>
    <row r="4" spans="2:13" s="20" customFormat="1" ht="27.6" x14ac:dyDescent="0.25">
      <c r="B4" s="34" t="s">
        <v>4</v>
      </c>
      <c r="C4" s="35" t="s">
        <v>57</v>
      </c>
      <c r="D4" s="35" t="s">
        <v>38</v>
      </c>
      <c r="E4" s="35" t="s">
        <v>40</v>
      </c>
      <c r="F4" s="35" t="s">
        <v>41</v>
      </c>
      <c r="G4" s="36" t="s">
        <v>52</v>
      </c>
      <c r="H4" s="37" t="s">
        <v>55</v>
      </c>
      <c r="I4" s="23"/>
      <c r="J4" s="23"/>
      <c r="K4" s="23"/>
    </row>
    <row r="5" spans="2:13" s="20" customFormat="1" ht="33.75" customHeight="1" thickBot="1" x14ac:dyDescent="0.3">
      <c r="B5" s="78" t="s">
        <v>124</v>
      </c>
      <c r="C5" s="79"/>
      <c r="D5" s="49">
        <v>0.3</v>
      </c>
      <c r="E5" s="50">
        <v>30</v>
      </c>
      <c r="F5" s="51" t="str">
        <f>IF(AND(H5&gt;Parametros!$C$10,H5&lt;Parametros!$D$10),"Critico",IF(AND(H5&gt;Parametros!$C$11,H5&lt;Parametros!$D$11),"Moderado",IF(AND(H5&gt;Parametros!$C$12,H5&lt;=Parametros!$D$12),"Aceptable")))</f>
        <v>Critico</v>
      </c>
      <c r="G5" s="52">
        <f>SUM(G6:G10)</f>
        <v>9</v>
      </c>
      <c r="H5" s="50">
        <f>G5/E5</f>
        <v>0.3</v>
      </c>
      <c r="I5" s="23"/>
      <c r="J5" s="23"/>
      <c r="K5" s="23"/>
      <c r="M5" s="57"/>
    </row>
    <row r="6" spans="2:13" ht="28.2" thickBot="1" x14ac:dyDescent="0.3">
      <c r="B6" s="39" t="s">
        <v>5</v>
      </c>
      <c r="C6" s="40" t="s">
        <v>118</v>
      </c>
      <c r="D6" s="24">
        <v>0.4</v>
      </c>
      <c r="E6" s="22">
        <v>13.5</v>
      </c>
      <c r="F6" s="58" t="s">
        <v>34</v>
      </c>
      <c r="G6" s="60">
        <f>IF(F6="Aceptable", +(E6*Parametros!$C$7), IF(F6="Moderado", +(E6*Parametros!$C$6), IF(F6="Critico", (E6*Parametros!$C$5))))</f>
        <v>4.05</v>
      </c>
    </row>
    <row r="7" spans="2:13" ht="28.2" thickBot="1" x14ac:dyDescent="0.3">
      <c r="B7" s="39" t="s">
        <v>6</v>
      </c>
      <c r="C7" s="40" t="s">
        <v>119</v>
      </c>
      <c r="D7" s="24">
        <v>0.3</v>
      </c>
      <c r="E7" s="22">
        <v>7.5</v>
      </c>
      <c r="F7" s="58" t="s">
        <v>34</v>
      </c>
      <c r="G7" s="60">
        <f>IF(F7="Aceptable", +(E7*Parametros!$C$7), IF(F7="Moderado", +(E7*Parametros!$C$6), IF(F7="Critico", (E7*Parametros!$C$5))))</f>
        <v>2.25</v>
      </c>
    </row>
    <row r="8" spans="2:13" ht="28.2" thickBot="1" x14ac:dyDescent="0.3">
      <c r="B8" s="39" t="s">
        <v>7</v>
      </c>
      <c r="C8" s="40" t="s">
        <v>149</v>
      </c>
      <c r="D8" s="24">
        <v>0.1</v>
      </c>
      <c r="E8" s="22">
        <v>3</v>
      </c>
      <c r="F8" s="58" t="s">
        <v>34</v>
      </c>
      <c r="G8" s="60">
        <f>IF(F8="Aceptable", +(E8*Parametros!$C$7), IF(F8="Moderado", +(E8*Parametros!$C$6), IF(F8="Critico", (E8*Parametros!$C$5))))</f>
        <v>0.89999999999999991</v>
      </c>
    </row>
    <row r="9" spans="2:13" ht="28.2" thickBot="1" x14ac:dyDescent="0.3">
      <c r="B9" s="39" t="s">
        <v>8</v>
      </c>
      <c r="C9" s="40" t="s">
        <v>120</v>
      </c>
      <c r="D9" s="24">
        <v>0.1</v>
      </c>
      <c r="E9" s="22">
        <v>3</v>
      </c>
      <c r="F9" s="58" t="s">
        <v>34</v>
      </c>
      <c r="G9" s="60">
        <f>IF(F9="Aceptable", +(E9*Parametros!$C$7), IF(F9="Moderado", +(E9*Parametros!$C$6), IF(F9="Critico", (E9*Parametros!$C$5))))</f>
        <v>0.89999999999999991</v>
      </c>
    </row>
    <row r="10" spans="2:13" ht="28.2" thickBot="1" x14ac:dyDescent="0.3">
      <c r="B10" s="39" t="s">
        <v>10</v>
      </c>
      <c r="C10" s="40" t="s">
        <v>9</v>
      </c>
      <c r="D10" s="24">
        <v>0.1</v>
      </c>
      <c r="E10" s="22">
        <v>3</v>
      </c>
      <c r="F10" s="58" t="s">
        <v>34</v>
      </c>
      <c r="G10" s="60">
        <f>IF(F10="Aceptable", +(E10*Parametros!$C$7), IF(F10="Moderado", +(E10*Parametros!$C$6), IF(F10="Critico", (E10*Parametros!$C$5))))</f>
        <v>0.89999999999999991</v>
      </c>
    </row>
    <row r="11" spans="2:13" ht="34.799999999999997" customHeight="1" thickBot="1" x14ac:dyDescent="0.3">
      <c r="B11" s="78" t="s">
        <v>54</v>
      </c>
      <c r="C11" s="79"/>
      <c r="D11" s="49">
        <v>0.2</v>
      </c>
      <c r="E11" s="50">
        <v>20</v>
      </c>
      <c r="F11" s="51" t="str">
        <f>IF(AND(H11&gt;Parametros!$C$10,H11&lt;Parametros!$D$10),"Critico",IF(AND(H11&gt;Parametros!$C$11,H11&lt;Parametros!$D$11),"Moderado",IF(AND(H11&gt;Parametros!$C$12,H11&lt;=Parametros!$D$12),"Aceptable")))</f>
        <v>Critico</v>
      </c>
      <c r="G11" s="52">
        <f>SUM(G12:G16)</f>
        <v>5.9999999999999991</v>
      </c>
      <c r="H11" s="50">
        <f>G11/E11</f>
        <v>0.29999999999999993</v>
      </c>
    </row>
    <row r="12" spans="2:13" ht="28.2" thickBot="1" x14ac:dyDescent="0.3">
      <c r="B12" s="39" t="s">
        <v>11</v>
      </c>
      <c r="C12" s="40" t="s">
        <v>22</v>
      </c>
      <c r="D12" s="24">
        <v>0.4</v>
      </c>
      <c r="E12" s="22">
        <v>7</v>
      </c>
      <c r="F12" s="58" t="s">
        <v>34</v>
      </c>
      <c r="G12" s="60">
        <f>IF(F12="Aceptable", +(E12*Parametros!$C$7), IF(F12="Moderado", +(E12*Parametros!$C$6), IF(F12="Critico", (E12*Parametros!$C$5))))</f>
        <v>2.1</v>
      </c>
    </row>
    <row r="13" spans="2:13" ht="28.2" thickBot="1" x14ac:dyDescent="0.3">
      <c r="B13" s="39" t="s">
        <v>12</v>
      </c>
      <c r="C13" s="40" t="s">
        <v>13</v>
      </c>
      <c r="D13" s="24">
        <v>0.3</v>
      </c>
      <c r="E13" s="22">
        <v>5</v>
      </c>
      <c r="F13" s="58" t="s">
        <v>34</v>
      </c>
      <c r="G13" s="60">
        <f>IF(F13="Aceptable", +(E13*Parametros!$C$7), IF(F13="Moderado", +(E13*Parametros!$C$6), IF(F13="Critico", (E13*Parametros!$C$5))))</f>
        <v>1.5</v>
      </c>
    </row>
    <row r="14" spans="2:13" ht="28.2" thickBot="1" x14ac:dyDescent="0.3">
      <c r="B14" s="39" t="s">
        <v>14</v>
      </c>
      <c r="C14" s="40" t="s">
        <v>15</v>
      </c>
      <c r="D14" s="24">
        <v>0.2</v>
      </c>
      <c r="E14" s="22">
        <v>4</v>
      </c>
      <c r="F14" s="58" t="s">
        <v>34</v>
      </c>
      <c r="G14" s="60">
        <f>IF(F14="Aceptable", +(E14*Parametros!$C$7), IF(F14="Moderado", +(E14*Parametros!$C$6), IF(F14="Critico", (E14*Parametros!$C$5))))</f>
        <v>1.2</v>
      </c>
    </row>
    <row r="15" spans="2:13" ht="28.2" thickBot="1" x14ac:dyDescent="0.3">
      <c r="B15" s="39" t="s">
        <v>16</v>
      </c>
      <c r="C15" s="40" t="s">
        <v>106</v>
      </c>
      <c r="D15" s="24">
        <v>0.05</v>
      </c>
      <c r="E15" s="22">
        <v>2</v>
      </c>
      <c r="F15" s="58" t="s">
        <v>34</v>
      </c>
      <c r="G15" s="60">
        <f>IF(F15="Aceptable", +(E15*Parametros!$C$7), IF(F15="Moderado", +(E15*Parametros!$C$6), IF(F15="Critico", (E15*Parametros!$C$5))))</f>
        <v>0.6</v>
      </c>
    </row>
    <row r="16" spans="2:13" ht="42" thickBot="1" x14ac:dyDescent="0.3">
      <c r="B16" s="39" t="s">
        <v>105</v>
      </c>
      <c r="C16" s="40" t="s">
        <v>125</v>
      </c>
      <c r="D16" s="24">
        <v>0.05</v>
      </c>
      <c r="E16" s="22">
        <v>2</v>
      </c>
      <c r="F16" s="58" t="s">
        <v>34</v>
      </c>
      <c r="G16" s="60">
        <f>IF(F16="Aceptable", +(E16*Parametros!$C$7), IF(F16="Moderado", +(E16*Parametros!$C$6), IF(F16="Critico", (E16*Parametros!$C$5))))</f>
        <v>0.6</v>
      </c>
    </row>
    <row r="17" spans="2:8" ht="33" customHeight="1" thickBot="1" x14ac:dyDescent="0.3">
      <c r="B17" s="70" t="s">
        <v>56</v>
      </c>
      <c r="C17" s="71"/>
      <c r="D17" s="49">
        <v>0.3</v>
      </c>
      <c r="E17" s="50">
        <v>30</v>
      </c>
      <c r="F17" s="51" t="str">
        <f>IF(AND(H17&gt;Parametros!$C$10,H17&lt;Parametros!$D$10),"Critico",IF(AND(H17&gt;Parametros!$C$11,H17&lt;Parametros!$D$11),"Moderado",IF(AND(H17&gt;Parametros!$C$12,H17&lt;=Parametros!$D$12),"Aceptable")))</f>
        <v>Critico</v>
      </c>
      <c r="G17" s="52">
        <f>SUM(G18:G21)</f>
        <v>9</v>
      </c>
      <c r="H17" s="50">
        <f>G17/E17</f>
        <v>0.3</v>
      </c>
    </row>
    <row r="18" spans="2:8" ht="32.4" customHeight="1" thickBot="1" x14ac:dyDescent="0.3">
      <c r="B18" s="39" t="s">
        <v>17</v>
      </c>
      <c r="C18" s="40" t="s">
        <v>108</v>
      </c>
      <c r="D18" s="24">
        <v>0.45</v>
      </c>
      <c r="E18" s="22">
        <v>15</v>
      </c>
      <c r="F18" s="58" t="s">
        <v>34</v>
      </c>
      <c r="G18" s="60">
        <f>IF(F18="Aceptable", +(E18*Parametros!$C$7), IF(F18="Moderado", +(E18*Parametros!$C$6), IF(F18="Critico", (E18*Parametros!$C$5))))</f>
        <v>4.5</v>
      </c>
    </row>
    <row r="19" spans="2:8" ht="28.2" thickBot="1" x14ac:dyDescent="0.3">
      <c r="B19" s="39" t="s">
        <v>18</v>
      </c>
      <c r="C19" s="40" t="s">
        <v>107</v>
      </c>
      <c r="D19" s="24">
        <v>0.3</v>
      </c>
      <c r="E19" s="22">
        <v>10</v>
      </c>
      <c r="F19" s="58" t="s">
        <v>34</v>
      </c>
      <c r="G19" s="60">
        <f>IF(F19="Aceptable", +(E19*Parametros!$C$7), IF(F19="Moderado", +(E19*Parametros!$C$6), IF(F19="Critico", (E19*Parametros!$C$5))))</f>
        <v>3</v>
      </c>
    </row>
    <row r="20" spans="2:8" ht="28.2" thickBot="1" x14ac:dyDescent="0.3">
      <c r="B20" s="39" t="s">
        <v>19</v>
      </c>
      <c r="C20" s="40" t="s">
        <v>121</v>
      </c>
      <c r="D20" s="24">
        <v>0.15</v>
      </c>
      <c r="E20" s="22">
        <v>3</v>
      </c>
      <c r="F20" s="58" t="s">
        <v>34</v>
      </c>
      <c r="G20" s="60">
        <f>IF(F20="Aceptable", +(E20*Parametros!$C$7), IF(F20="Moderado", +(E20*Parametros!$C$6), IF(F20="Critico", (E20*Parametros!$C$5))))</f>
        <v>0.89999999999999991</v>
      </c>
    </row>
    <row r="21" spans="2:8" ht="34.799999999999997" customHeight="1" thickBot="1" x14ac:dyDescent="0.3">
      <c r="B21" s="39" t="s">
        <v>110</v>
      </c>
      <c r="C21" s="40" t="s">
        <v>58</v>
      </c>
      <c r="D21" s="24">
        <v>0.1</v>
      </c>
      <c r="E21" s="22">
        <v>2</v>
      </c>
      <c r="F21" s="58" t="s">
        <v>34</v>
      </c>
      <c r="G21" s="60">
        <f>IF(F21="Aceptable", +(E21*Parametros!$C$7), IF(F21="Moderado", +(E21*Parametros!$C$6), IF(F21="Critico", (E21*Parametros!$C$5))))</f>
        <v>0.6</v>
      </c>
    </row>
    <row r="22" spans="2:8" ht="33" customHeight="1" thickBot="1" x14ac:dyDescent="0.3">
      <c r="B22" s="70" t="s">
        <v>103</v>
      </c>
      <c r="C22" s="71"/>
      <c r="D22" s="49">
        <v>0.15</v>
      </c>
      <c r="E22" s="50">
        <v>15</v>
      </c>
      <c r="F22" s="51" t="str">
        <f>IF(AND(H22&gt;Parametros!$C$10,H22&lt;Parametros!$D$10),"Critico",IF(AND(H22&gt;Parametros!$C$11,H22&lt;Parametros!$D$11),"Moderado",IF(AND(H22&gt;Parametros!$C$12,H22&lt;=Parametros!$D$12),"Aceptable")))</f>
        <v>Critico</v>
      </c>
      <c r="G22" s="52">
        <f>SUM(G23:G25)</f>
        <v>4.5</v>
      </c>
      <c r="H22" s="50">
        <f>G22/E22</f>
        <v>0.3</v>
      </c>
    </row>
    <row r="23" spans="2:8" ht="28.2" thickBot="1" x14ac:dyDescent="0.3">
      <c r="B23" s="39" t="s">
        <v>111</v>
      </c>
      <c r="C23" s="40" t="s">
        <v>20</v>
      </c>
      <c r="D23" s="24">
        <v>0.4</v>
      </c>
      <c r="E23" s="22">
        <v>8</v>
      </c>
      <c r="F23" s="58" t="s">
        <v>34</v>
      </c>
      <c r="G23" s="60">
        <f>IF(F23="Aceptable", +(E23*Parametros!$C$7), IF(F23="Moderado", +(E23*Parametros!$C$6), IF(F23="Critico", (E23*Parametros!$C$5))))</f>
        <v>2.4</v>
      </c>
    </row>
    <row r="24" spans="2:8" ht="28.2" thickBot="1" x14ac:dyDescent="0.3">
      <c r="B24" s="39" t="s">
        <v>112</v>
      </c>
      <c r="C24" s="40" t="s">
        <v>21</v>
      </c>
      <c r="D24" s="24">
        <v>0.3</v>
      </c>
      <c r="E24" s="22">
        <v>5</v>
      </c>
      <c r="F24" s="58" t="s">
        <v>34</v>
      </c>
      <c r="G24" s="60">
        <f>IF(F24="Aceptable", +(E24*Parametros!$C$7), IF(F24="Moderado", +(E24*Parametros!$C$6), IF(F24="Critico", (E24*Parametros!$C$5))))</f>
        <v>1.5</v>
      </c>
    </row>
    <row r="25" spans="2:8" ht="55.8" thickBot="1" x14ac:dyDescent="0.3">
      <c r="B25" s="39" t="s">
        <v>113</v>
      </c>
      <c r="C25" s="40" t="s">
        <v>59</v>
      </c>
      <c r="D25" s="24">
        <v>0.2</v>
      </c>
      <c r="E25" s="22">
        <v>2</v>
      </c>
      <c r="F25" s="58" t="s">
        <v>34</v>
      </c>
      <c r="G25" s="60">
        <f>IF(F25="Aceptable", +(E25*Parametros!$C$7), IF(F25="Moderado", +(E25*Parametros!$C$6), IF(F25="Critico", (E25*Parametros!$C$5))))</f>
        <v>0.6</v>
      </c>
    </row>
    <row r="26" spans="2:8" ht="30" customHeight="1" thickBot="1" x14ac:dyDescent="0.3">
      <c r="B26" s="70" t="s">
        <v>153</v>
      </c>
      <c r="C26" s="71"/>
      <c r="D26" s="49">
        <v>0.05</v>
      </c>
      <c r="E26" s="50">
        <v>5</v>
      </c>
      <c r="F26" s="51" t="str">
        <f>IF(AND(H26&gt;Parametros!$C$10,H26&lt;Parametros!$D$10),"Critico",IF(AND(H26&gt;Parametros!$C$11,H26&lt;Parametros!$D$11),"Moderado",IF(AND(H26&gt;Parametros!$C$12,H26&lt;=Parametros!$D$12),"Aceptable")))</f>
        <v>Moderado</v>
      </c>
      <c r="G26" s="52">
        <f>SUM(G27)</f>
        <v>3.5</v>
      </c>
      <c r="H26" s="50">
        <f>G26/E26</f>
        <v>0.7</v>
      </c>
    </row>
    <row r="27" spans="2:8" ht="28.2" thickBot="1" x14ac:dyDescent="0.3">
      <c r="B27" s="39" t="s">
        <v>152</v>
      </c>
      <c r="C27" s="40" t="s">
        <v>151</v>
      </c>
      <c r="D27" s="24">
        <v>1</v>
      </c>
      <c r="E27" s="22">
        <v>5</v>
      </c>
      <c r="F27" s="58" t="s">
        <v>33</v>
      </c>
      <c r="G27" s="60">
        <f>IF(F27="Aceptable", +(E27*Parametros!$C$7), IF(F27="Moderado", +(E27*Parametros!$C$6), IF(F27="Critico", (E27*Parametros!$C$5))))</f>
        <v>3.5</v>
      </c>
    </row>
    <row r="28" spans="2:8" x14ac:dyDescent="0.25">
      <c r="B28" s="80"/>
      <c r="C28" s="81"/>
      <c r="D28" s="49">
        <f>D5+D11+D17+D22+D26</f>
        <v>1</v>
      </c>
      <c r="E28" s="50">
        <f>E5+E11+E17+E22+E26</f>
        <v>100</v>
      </c>
      <c r="F28" s="31"/>
      <c r="G28" s="32"/>
    </row>
    <row r="29" spans="2:8" ht="27.6" customHeight="1" x14ac:dyDescent="0.25">
      <c r="B29" s="82" t="s">
        <v>0</v>
      </c>
      <c r="C29" s="83"/>
      <c r="D29" s="38"/>
      <c r="E29" s="38"/>
      <c r="F29" s="38"/>
      <c r="G29" s="52">
        <f>G5+G11+G17+G22</f>
        <v>28.5</v>
      </c>
      <c r="H29" s="33"/>
    </row>
    <row r="30" spans="2:8" ht="27.6" customHeight="1" x14ac:dyDescent="0.25">
      <c r="B30" s="61"/>
      <c r="C30" s="62"/>
      <c r="D30" s="38"/>
      <c r="E30" s="38"/>
      <c r="F30" s="38"/>
      <c r="G30" s="41"/>
      <c r="H30" s="33"/>
    </row>
    <row r="31" spans="2:8" ht="55.2" customHeight="1" thickBot="1" x14ac:dyDescent="0.3">
      <c r="B31" s="84" t="s">
        <v>51</v>
      </c>
      <c r="C31" s="85"/>
      <c r="D31" s="42"/>
      <c r="E31" s="42"/>
      <c r="F31" s="45"/>
      <c r="G31" s="46"/>
    </row>
    <row r="32" spans="2:8" ht="24.6" customHeight="1" thickBot="1" x14ac:dyDescent="0.3">
      <c r="B32" s="44"/>
      <c r="C32" s="47"/>
      <c r="D32" s="42"/>
      <c r="E32" s="42"/>
      <c r="F32" s="42"/>
      <c r="G32" s="43"/>
    </row>
    <row r="33" spans="2:7" x14ac:dyDescent="0.25">
      <c r="B33" s="31"/>
      <c r="D33" s="86"/>
      <c r="E33" s="86"/>
      <c r="F33" s="86"/>
      <c r="G33" s="86"/>
    </row>
    <row r="34" spans="2:7" x14ac:dyDescent="0.25">
      <c r="B34" s="31"/>
      <c r="D34" s="86"/>
      <c r="E34" s="86"/>
      <c r="F34" s="86"/>
      <c r="G34" s="86"/>
    </row>
    <row r="35" spans="2:7" ht="24" customHeight="1" x14ac:dyDescent="0.25">
      <c r="B35" s="89" t="s">
        <v>23</v>
      </c>
      <c r="C35" s="90"/>
      <c r="D35" s="90"/>
      <c r="E35" s="90"/>
      <c r="F35" s="90"/>
      <c r="G35" s="91"/>
    </row>
    <row r="36" spans="2:7" x14ac:dyDescent="0.25">
      <c r="B36" s="92">
        <v>1</v>
      </c>
      <c r="C36" s="93"/>
      <c r="D36" s="93"/>
      <c r="E36" s="93"/>
      <c r="F36" s="93"/>
      <c r="G36" s="94"/>
    </row>
    <row r="37" spans="2:7" x14ac:dyDescent="0.25">
      <c r="B37" s="92">
        <v>2</v>
      </c>
      <c r="C37" s="93"/>
      <c r="D37" s="93"/>
      <c r="E37" s="93"/>
      <c r="F37" s="93"/>
      <c r="G37" s="94"/>
    </row>
    <row r="38" spans="2:7" x14ac:dyDescent="0.25">
      <c r="B38" s="92">
        <v>3</v>
      </c>
      <c r="C38" s="93"/>
      <c r="D38" s="93"/>
      <c r="E38" s="93"/>
      <c r="F38" s="93"/>
      <c r="G38" s="94"/>
    </row>
    <row r="39" spans="2:7" x14ac:dyDescent="0.25">
      <c r="B39" s="92">
        <v>4</v>
      </c>
      <c r="C39" s="93"/>
      <c r="D39" s="93"/>
      <c r="E39" s="93"/>
      <c r="F39" s="93"/>
      <c r="G39" s="94"/>
    </row>
    <row r="40" spans="2:7" x14ac:dyDescent="0.25">
      <c r="B40" s="92">
        <v>5</v>
      </c>
      <c r="C40" s="93"/>
      <c r="D40" s="93"/>
      <c r="E40" s="93"/>
      <c r="F40" s="93"/>
      <c r="G40" s="94"/>
    </row>
    <row r="41" spans="2:7" ht="14.4" thickBot="1" x14ac:dyDescent="0.3">
      <c r="B41" s="63"/>
      <c r="D41" s="64"/>
      <c r="E41" s="64"/>
    </row>
    <row r="42" spans="2:7" ht="44.4" customHeight="1" thickBot="1" x14ac:dyDescent="0.3">
      <c r="C42" s="65" t="s">
        <v>60</v>
      </c>
      <c r="D42" s="95">
        <f>G29</f>
        <v>28.5</v>
      </c>
      <c r="E42" s="95"/>
      <c r="F42" s="96"/>
      <c r="G42" s="55" t="str">
        <f>IF(AND(D42&gt;Parametros!$C$15,D42&lt;=Parametros!$D$15),"DEFICIENTE",IF(AND(D42&gt;Parametros!$C$16,D42&lt;=Parametros!$D$16),"NECESITA MEJORAS",IF(AND(D42&gt;Parametros!$C$17,D42&lt;=Parametros!$D$17),"SATISFACTORIO")))</f>
        <v>DEFICIENTE</v>
      </c>
    </row>
    <row r="43" spans="2:7" x14ac:dyDescent="0.25">
      <c r="D43" s="64"/>
      <c r="E43" s="64"/>
    </row>
    <row r="44" spans="2:7" x14ac:dyDescent="0.25">
      <c r="C44" s="66" t="s">
        <v>24</v>
      </c>
    </row>
    <row r="45" spans="2:7" x14ac:dyDescent="0.25">
      <c r="C45" s="66" t="s">
        <v>33</v>
      </c>
      <c r="D45" s="64"/>
      <c r="E45" s="64"/>
    </row>
    <row r="46" spans="2:7" x14ac:dyDescent="0.25">
      <c r="C46" s="66" t="s">
        <v>34</v>
      </c>
      <c r="D46" s="64"/>
      <c r="E46" s="64"/>
    </row>
    <row r="47" spans="2:7" x14ac:dyDescent="0.25">
      <c r="D47" s="64"/>
      <c r="E47" s="64"/>
    </row>
    <row r="48" spans="2:7" x14ac:dyDescent="0.25">
      <c r="C48" s="64"/>
      <c r="D48" s="64"/>
      <c r="E48" s="64"/>
    </row>
    <row r="49" spans="3:3" x14ac:dyDescent="0.25">
      <c r="C49" s="64"/>
    </row>
    <row r="50" spans="3:3" x14ac:dyDescent="0.25">
      <c r="C50" s="64"/>
    </row>
    <row r="51" spans="3:3" x14ac:dyDescent="0.25">
      <c r="C51" s="64"/>
    </row>
    <row r="52" spans="3:3" x14ac:dyDescent="0.25">
      <c r="C52" s="64"/>
    </row>
  </sheetData>
  <sheetProtection autoFilter="0" pivotTables="0"/>
  <protectedRanges>
    <protectedRange sqref="B31:B34 D28:G28" name="Rango7"/>
    <protectedRange sqref="C4 J5 D3:G3 D4:F5 F22 G42 D11:F11 F17 B3:B5 F26" name="Rango1"/>
    <protectedRange sqref="D31:G38" name="Rango9"/>
  </protectedRanges>
  <mergeCells count="20">
    <mergeCell ref="D34:G34"/>
    <mergeCell ref="D33:G33"/>
    <mergeCell ref="B5:C5"/>
    <mergeCell ref="B31:C31"/>
    <mergeCell ref="D42:F42"/>
    <mergeCell ref="B35:G35"/>
    <mergeCell ref="B36:G36"/>
    <mergeCell ref="B37:G37"/>
    <mergeCell ref="B38:G38"/>
    <mergeCell ref="B39:G39"/>
    <mergeCell ref="B40:G40"/>
    <mergeCell ref="B26:C26"/>
    <mergeCell ref="B2:G2"/>
    <mergeCell ref="B22:C22"/>
    <mergeCell ref="B17:C17"/>
    <mergeCell ref="B28:C28"/>
    <mergeCell ref="B29:C29"/>
    <mergeCell ref="B11:C11"/>
    <mergeCell ref="D3:F3"/>
    <mergeCell ref="B3:C3"/>
  </mergeCells>
  <phoneticPr fontId="3" type="noConversion"/>
  <dataValidations count="1">
    <dataValidation type="list" allowBlank="1" showInputMessage="1" showErrorMessage="1" sqref="F18:F21 F6:F10 F27 F23:F25 F12:F16" xr:uid="{DC70E8B0-C8CB-40C8-A0BA-859C0407B19D}">
      <formula1>$C$44:$C$46</formula1>
    </dataValidation>
  </dataValidations>
  <printOptions horizontalCentered="1" verticalCentered="1"/>
  <pageMargins left="0.23622047244094491" right="0.23622047244094491" top="0.98425196850393704" bottom="0.98425196850393704" header="0" footer="0"/>
  <pageSetup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C65D-788F-4578-AFE5-46A910F083AC}">
  <sheetPr>
    <pageSetUpPr fitToPage="1"/>
  </sheetPr>
  <dimension ref="B1:M44"/>
  <sheetViews>
    <sheetView showGridLines="0" zoomScaleNormal="100" workbookViewId="0">
      <selection activeCell="G21" sqref="B2:G21"/>
    </sheetView>
  </sheetViews>
  <sheetFormatPr baseColWidth="10" defaultColWidth="8.77734375" defaultRowHeight="13.8" x14ac:dyDescent="0.25"/>
  <cols>
    <col min="1" max="1" width="8.77734375" style="23"/>
    <col min="2" max="2" width="5.5546875" style="23" customWidth="1"/>
    <col min="3" max="3" width="60" style="23" customWidth="1"/>
    <col min="4" max="4" width="11.21875" style="23" customWidth="1"/>
    <col min="5" max="5" width="9.44140625" style="23" customWidth="1"/>
    <col min="6" max="6" width="21.5546875" style="23" customWidth="1"/>
    <col min="7" max="7" width="25.21875" style="23" customWidth="1"/>
    <col min="8" max="8" width="10" style="23" customWidth="1"/>
    <col min="9" max="237" width="11.44140625" style="23" customWidth="1"/>
    <col min="238" max="16384" width="8.77734375" style="23"/>
  </cols>
  <sheetData>
    <row r="1" spans="2:13" ht="14.4" thickBot="1" x14ac:dyDescent="0.3"/>
    <row r="2" spans="2:13" ht="96.6" customHeight="1" thickBot="1" x14ac:dyDescent="0.3">
      <c r="B2" s="72" t="s">
        <v>101</v>
      </c>
      <c r="C2" s="73"/>
      <c r="D2" s="73"/>
      <c r="E2" s="73"/>
      <c r="F2" s="73"/>
      <c r="G2" s="74"/>
    </row>
    <row r="3" spans="2:13" ht="33.75" customHeight="1" x14ac:dyDescent="0.25">
      <c r="B3" s="75" t="s">
        <v>3</v>
      </c>
      <c r="C3" s="76"/>
      <c r="D3" s="76" t="s">
        <v>61</v>
      </c>
      <c r="E3" s="76"/>
      <c r="F3" s="77"/>
      <c r="G3" s="56"/>
    </row>
    <row r="4" spans="2:13" s="20" customFormat="1" ht="27.6" x14ac:dyDescent="0.25">
      <c r="B4" s="34" t="s">
        <v>4</v>
      </c>
      <c r="C4" s="35" t="s">
        <v>57</v>
      </c>
      <c r="D4" s="35" t="s">
        <v>38</v>
      </c>
      <c r="E4" s="35" t="s">
        <v>40</v>
      </c>
      <c r="F4" s="35" t="s">
        <v>41</v>
      </c>
      <c r="G4" s="36" t="s">
        <v>52</v>
      </c>
      <c r="H4" s="37" t="s">
        <v>55</v>
      </c>
      <c r="I4" s="23"/>
      <c r="J4" s="23"/>
      <c r="K4" s="23"/>
    </row>
    <row r="5" spans="2:13" s="20" customFormat="1" ht="33.75" customHeight="1" thickBot="1" x14ac:dyDescent="0.3">
      <c r="B5" s="97" t="s">
        <v>62</v>
      </c>
      <c r="C5" s="98"/>
      <c r="D5" s="49">
        <v>0.45</v>
      </c>
      <c r="E5" s="50">
        <v>45</v>
      </c>
      <c r="F5" s="51" t="str">
        <f>IF(AND(H5&gt;Parametros!$C$10,H5&lt;Parametros!$D$10),"Critico",IF(AND(H5&gt;Parametros!$C$11,H5&lt;Parametros!$D$11),"Moderado",IF(AND(H5&gt;Parametros!$C$12,H5&lt;=Parametros!$D$12),"Aceptable")))</f>
        <v>Aceptable</v>
      </c>
      <c r="G5" s="52">
        <f>SUM(G6:G10)</f>
        <v>45</v>
      </c>
      <c r="H5" s="50">
        <f>G5/E5</f>
        <v>1</v>
      </c>
      <c r="I5" s="23"/>
      <c r="J5" s="23"/>
      <c r="K5" s="23"/>
      <c r="M5" s="57"/>
    </row>
    <row r="6" spans="2:13" ht="22.2" customHeight="1" thickBot="1" x14ac:dyDescent="0.3">
      <c r="B6" s="39" t="s">
        <v>64</v>
      </c>
      <c r="C6" s="40" t="s">
        <v>63</v>
      </c>
      <c r="D6" s="24">
        <v>0.35</v>
      </c>
      <c r="E6" s="22">
        <v>13</v>
      </c>
      <c r="F6" s="58" t="s">
        <v>24</v>
      </c>
      <c r="G6" s="60">
        <f>IF(F6="Aceptable", +(E6*Parametros!$C$7), IF(F6="Moderado", +(E6*Parametros!$C$6), IF(F6="Critico", (E6*Parametros!$C$5))))</f>
        <v>13</v>
      </c>
    </row>
    <row r="7" spans="2:13" ht="25.2" customHeight="1" thickBot="1" x14ac:dyDescent="0.3">
      <c r="B7" s="39" t="s">
        <v>66</v>
      </c>
      <c r="C7" s="40" t="s">
        <v>65</v>
      </c>
      <c r="D7" s="24">
        <v>0.2</v>
      </c>
      <c r="E7" s="22">
        <v>10</v>
      </c>
      <c r="F7" s="58" t="s">
        <v>24</v>
      </c>
      <c r="G7" s="60">
        <f>IF(F7="Aceptable", +(E7*Parametros!$C$7), IF(F7="Moderado", +(E7*Parametros!$C$6), IF(F7="Critico", (E7*Parametros!$C$5))))</f>
        <v>10</v>
      </c>
    </row>
    <row r="8" spans="2:13" ht="28.2" thickBot="1" x14ac:dyDescent="0.3">
      <c r="B8" s="39" t="s">
        <v>68</v>
      </c>
      <c r="C8" s="40" t="s">
        <v>67</v>
      </c>
      <c r="D8" s="24">
        <v>0.2</v>
      </c>
      <c r="E8" s="22">
        <v>10</v>
      </c>
      <c r="F8" s="58" t="s">
        <v>24</v>
      </c>
      <c r="G8" s="60">
        <f>IF(F8="Aceptable", +(E8*Parametros!$C$7), IF(F8="Moderado", +(E8*Parametros!$C$6), IF(F8="Critico", (E8*Parametros!$C$5))))</f>
        <v>10</v>
      </c>
    </row>
    <row r="9" spans="2:13" ht="28.2" thickBot="1" x14ac:dyDescent="0.3">
      <c r="B9" s="39" t="s">
        <v>68</v>
      </c>
      <c r="C9" s="40" t="s">
        <v>122</v>
      </c>
      <c r="D9" s="24">
        <v>0.15</v>
      </c>
      <c r="E9" s="22">
        <v>7</v>
      </c>
      <c r="F9" s="58" t="s">
        <v>24</v>
      </c>
      <c r="G9" s="60">
        <f>IF(F9="Aceptable", +(E9*Parametros!$C$7), IF(F9="Moderado", +(E9*Parametros!$C$6), IF(F9="Critico", (E9*Parametros!$C$5))))</f>
        <v>7</v>
      </c>
    </row>
    <row r="10" spans="2:13" ht="28.2" thickBot="1" x14ac:dyDescent="0.3">
      <c r="B10" s="39" t="s">
        <v>69</v>
      </c>
      <c r="C10" s="40" t="s">
        <v>104</v>
      </c>
      <c r="D10" s="24">
        <v>0.1</v>
      </c>
      <c r="E10" s="22">
        <v>5</v>
      </c>
      <c r="F10" s="58" t="s">
        <v>24</v>
      </c>
      <c r="G10" s="60">
        <f>IF(F10="Aceptable", +(E10*Parametros!$C$7), IF(F10="Moderado", +(E10*Parametros!$C$6), IF(F10="Critico", (E10*Parametros!$C$5))))</f>
        <v>5</v>
      </c>
    </row>
    <row r="11" spans="2:13" ht="34.799999999999997" customHeight="1" thickBot="1" x14ac:dyDescent="0.3">
      <c r="B11" s="78" t="s">
        <v>70</v>
      </c>
      <c r="C11" s="79"/>
      <c r="D11" s="49">
        <v>0.3</v>
      </c>
      <c r="E11" s="50">
        <v>30</v>
      </c>
      <c r="F11" s="51" t="str">
        <f>IF(AND(H11&gt;Parametros!$C$10,H11&lt;Parametros!$D$10),"Critico",IF(AND(H11&gt;Parametros!$C$11,H11&lt;Parametros!$D$11),"Moderado",IF(AND(H11&gt;Parametros!$C$12,H11&lt;=Parametros!$D$12),"Aceptable")))</f>
        <v>Aceptable</v>
      </c>
      <c r="G11" s="52">
        <f>SUM(G12:G14)</f>
        <v>30</v>
      </c>
      <c r="H11" s="50">
        <f>G11/E11</f>
        <v>1</v>
      </c>
    </row>
    <row r="12" spans="2:13" ht="42" thickBot="1" x14ac:dyDescent="0.3">
      <c r="B12" s="39" t="s">
        <v>72</v>
      </c>
      <c r="C12" s="40" t="s">
        <v>71</v>
      </c>
      <c r="D12" s="24">
        <v>0.4</v>
      </c>
      <c r="E12" s="21">
        <v>12.5</v>
      </c>
      <c r="F12" s="58" t="s">
        <v>24</v>
      </c>
      <c r="G12" s="60">
        <f>IF(F12="Aceptable", +(E12*Parametros!$C$7), IF(F12="Moderado", +(E12*Parametros!$C$6), IF(F12="Critico", (E12*Parametros!$C$5))))</f>
        <v>12.5</v>
      </c>
    </row>
    <row r="13" spans="2:13" ht="28.2" thickBot="1" x14ac:dyDescent="0.3">
      <c r="B13" s="39" t="s">
        <v>73</v>
      </c>
      <c r="C13" s="40" t="s">
        <v>74</v>
      </c>
      <c r="D13" s="24">
        <v>0.3</v>
      </c>
      <c r="E13" s="22">
        <v>10</v>
      </c>
      <c r="F13" s="58" t="s">
        <v>24</v>
      </c>
      <c r="G13" s="60">
        <f>IF(F13="Aceptable", +(E13*Parametros!$C$7), IF(F13="Moderado", +(E13*Parametros!$C$6), IF(F13="Critico", (E13*Parametros!$C$5))))</f>
        <v>10</v>
      </c>
    </row>
    <row r="14" spans="2:13" ht="28.2" thickBot="1" x14ac:dyDescent="0.3">
      <c r="B14" s="39" t="s">
        <v>76</v>
      </c>
      <c r="C14" s="40" t="s">
        <v>75</v>
      </c>
      <c r="D14" s="24">
        <v>0.2</v>
      </c>
      <c r="E14" s="22">
        <v>7.5</v>
      </c>
      <c r="F14" s="58" t="s">
        <v>24</v>
      </c>
      <c r="G14" s="59">
        <f>IF(F14="Aceptable", +(E14*Parametros!$C$7), IF(F14="Moderado", +(E14*Parametros!$C$6), IF(F14="Critico", (E14*Parametros!$C$5))))</f>
        <v>7.5</v>
      </c>
    </row>
    <row r="15" spans="2:13" ht="33" customHeight="1" thickBot="1" x14ac:dyDescent="0.3">
      <c r="B15" s="70" t="s">
        <v>77</v>
      </c>
      <c r="C15" s="71"/>
      <c r="D15" s="49">
        <v>0.2</v>
      </c>
      <c r="E15" s="50">
        <v>20</v>
      </c>
      <c r="F15" s="51" t="str">
        <f>IF(AND(H15&gt;Parametros!$C$10,H15&lt;Parametros!$D$10),"Critico",IF(AND(H15&gt;Parametros!$C$11,H15&lt;Parametros!$D$11),"Moderado",IF(AND(H15&gt;Parametros!$C$12,H15&lt;=Parametros!$D$12),"Aceptable")))</f>
        <v>Aceptable</v>
      </c>
      <c r="G15" s="52">
        <f>SUM(G16:G17)</f>
        <v>20</v>
      </c>
      <c r="H15" s="50">
        <f>G15/E15</f>
        <v>1</v>
      </c>
    </row>
    <row r="16" spans="2:13" ht="28.2" customHeight="1" thickBot="1" x14ac:dyDescent="0.3">
      <c r="B16" s="39" t="s">
        <v>78</v>
      </c>
      <c r="C16" s="40" t="s">
        <v>80</v>
      </c>
      <c r="D16" s="24">
        <v>0.5</v>
      </c>
      <c r="E16" s="22">
        <v>14.5</v>
      </c>
      <c r="F16" s="58" t="s">
        <v>24</v>
      </c>
      <c r="G16" s="60">
        <f>IF(F16="Aceptable", +(E16*Parametros!$C$7), IF(F16="Moderado", +(E16*Parametros!$C$6), IF(F16="Critico", (E16*Parametros!$C$5))))</f>
        <v>14.5</v>
      </c>
    </row>
    <row r="17" spans="2:8" ht="28.2" thickBot="1" x14ac:dyDescent="0.3">
      <c r="B17" s="39" t="s">
        <v>79</v>
      </c>
      <c r="C17" s="40" t="s">
        <v>81</v>
      </c>
      <c r="D17" s="24">
        <v>0.3</v>
      </c>
      <c r="E17" s="22">
        <v>5.5</v>
      </c>
      <c r="F17" s="58" t="s">
        <v>24</v>
      </c>
      <c r="G17" s="60">
        <f>IF(F17="Aceptable", +(E17*Parametros!$C$7), IF(F17="Moderado", +(E17*Parametros!$C$6), IF(F17="Critico", (E17*Parametros!$C$5))))</f>
        <v>5.5</v>
      </c>
    </row>
    <row r="18" spans="2:8" ht="33" customHeight="1" thickBot="1" x14ac:dyDescent="0.3">
      <c r="B18" s="70" t="s">
        <v>153</v>
      </c>
      <c r="C18" s="71"/>
      <c r="D18" s="49">
        <v>0.05</v>
      </c>
      <c r="E18" s="50">
        <v>5</v>
      </c>
      <c r="F18" s="51" t="str">
        <f>IF(AND(H18&gt;Parametros!$C$10,H18&lt;Parametros!$D$10),"Critico",IF(AND(H18&gt;Parametros!$C$11,H18&lt;Parametros!$D$11),"Moderado",IF(AND(H18&gt;Parametros!$C$12,H18&lt;=Parametros!$D$12),"Aceptable")))</f>
        <v>Critico</v>
      </c>
      <c r="G18" s="52">
        <f>SUM(G19)</f>
        <v>1.5</v>
      </c>
      <c r="H18" s="50">
        <f>G18/E18</f>
        <v>0.3</v>
      </c>
    </row>
    <row r="19" spans="2:8" ht="28.2" thickBot="1" x14ac:dyDescent="0.3">
      <c r="B19" s="39" t="s">
        <v>152</v>
      </c>
      <c r="C19" s="40" t="s">
        <v>151</v>
      </c>
      <c r="D19" s="24">
        <v>1</v>
      </c>
      <c r="E19" s="22">
        <v>5</v>
      </c>
      <c r="F19" s="58" t="s">
        <v>34</v>
      </c>
      <c r="G19" s="60">
        <f>IF(F19="Aceptable", +(E19*Parametros!$C$7), IF(F19="Moderado", +(E19*Parametros!$C$6), IF(F19="Critico", (E19*Parametros!$C$5))))</f>
        <v>1.5</v>
      </c>
    </row>
    <row r="20" spans="2:8" x14ac:dyDescent="0.25">
      <c r="B20" s="80"/>
      <c r="C20" s="81"/>
      <c r="D20" s="49">
        <f>D5+D11+D15+D18</f>
        <v>1</v>
      </c>
      <c r="E20" s="50">
        <f>E5+E11+E15+E18</f>
        <v>100</v>
      </c>
      <c r="F20" s="31"/>
      <c r="G20" s="32"/>
    </row>
    <row r="21" spans="2:8" ht="27.6" customHeight="1" x14ac:dyDescent="0.25">
      <c r="B21" s="82" t="s">
        <v>0</v>
      </c>
      <c r="C21" s="83"/>
      <c r="D21" s="38"/>
      <c r="E21" s="38"/>
      <c r="F21" s="38"/>
      <c r="G21" s="52">
        <f>G5+G11+G15</f>
        <v>95</v>
      </c>
      <c r="H21" s="33"/>
    </row>
    <row r="22" spans="2:8" ht="27.6" customHeight="1" x14ac:dyDescent="0.25">
      <c r="B22" s="61"/>
      <c r="C22" s="62"/>
      <c r="D22" s="38"/>
      <c r="E22" s="38"/>
      <c r="F22" s="38"/>
      <c r="G22" s="41"/>
      <c r="H22" s="33"/>
    </row>
    <row r="23" spans="2:8" ht="55.2" customHeight="1" thickBot="1" x14ac:dyDescent="0.3">
      <c r="B23" s="84" t="s">
        <v>51</v>
      </c>
      <c r="C23" s="85"/>
      <c r="D23" s="42"/>
      <c r="E23" s="42"/>
      <c r="F23" s="45"/>
      <c r="G23" s="46"/>
    </row>
    <row r="24" spans="2:8" ht="24.6" customHeight="1" thickBot="1" x14ac:dyDescent="0.3">
      <c r="B24" s="44"/>
      <c r="C24" s="47"/>
      <c r="D24" s="42"/>
      <c r="E24" s="42"/>
      <c r="F24" s="42"/>
      <c r="G24" s="43"/>
    </row>
    <row r="25" spans="2:8" x14ac:dyDescent="0.25">
      <c r="B25" s="31"/>
      <c r="D25" s="86"/>
      <c r="E25" s="86"/>
      <c r="F25" s="86"/>
      <c r="G25" s="86"/>
    </row>
    <row r="26" spans="2:8" x14ac:dyDescent="0.25">
      <c r="B26" s="31"/>
      <c r="D26" s="86"/>
      <c r="E26" s="86"/>
      <c r="F26" s="86"/>
      <c r="G26" s="86"/>
    </row>
    <row r="27" spans="2:8" ht="24" customHeight="1" x14ac:dyDescent="0.25">
      <c r="B27" s="99" t="s">
        <v>23</v>
      </c>
      <c r="C27" s="100"/>
      <c r="D27" s="100"/>
      <c r="E27" s="100"/>
      <c r="F27" s="100"/>
      <c r="G27" s="101"/>
    </row>
    <row r="28" spans="2:8" x14ac:dyDescent="0.25">
      <c r="B28" s="92">
        <v>1</v>
      </c>
      <c r="C28" s="93"/>
      <c r="D28" s="93"/>
      <c r="E28" s="93"/>
      <c r="F28" s="93"/>
      <c r="G28" s="94"/>
    </row>
    <row r="29" spans="2:8" x14ac:dyDescent="0.25">
      <c r="B29" s="92">
        <v>2</v>
      </c>
      <c r="C29" s="93"/>
      <c r="D29" s="93"/>
      <c r="E29" s="93"/>
      <c r="F29" s="93"/>
      <c r="G29" s="94"/>
    </row>
    <row r="30" spans="2:8" x14ac:dyDescent="0.25">
      <c r="B30" s="92">
        <v>3</v>
      </c>
      <c r="C30" s="93"/>
      <c r="D30" s="93"/>
      <c r="E30" s="93"/>
      <c r="F30" s="93"/>
      <c r="G30" s="94"/>
    </row>
    <row r="31" spans="2:8" x14ac:dyDescent="0.25">
      <c r="B31" s="92">
        <v>4</v>
      </c>
      <c r="C31" s="93"/>
      <c r="D31" s="93"/>
      <c r="E31" s="93"/>
      <c r="F31" s="93"/>
      <c r="G31" s="94"/>
    </row>
    <row r="32" spans="2:8" x14ac:dyDescent="0.25">
      <c r="B32" s="92">
        <v>5</v>
      </c>
      <c r="C32" s="93"/>
      <c r="D32" s="93"/>
      <c r="E32" s="93"/>
      <c r="F32" s="93"/>
      <c r="G32" s="94"/>
    </row>
    <row r="33" spans="2:7" x14ac:dyDescent="0.25">
      <c r="B33" s="63"/>
      <c r="D33" s="64"/>
      <c r="E33" s="64"/>
    </row>
    <row r="34" spans="2:7" ht="14.4" thickBot="1" x14ac:dyDescent="0.3">
      <c r="C34" s="67"/>
      <c r="D34" s="64"/>
      <c r="E34" s="64"/>
    </row>
    <row r="35" spans="2:7" ht="42" customHeight="1" thickBot="1" x14ac:dyDescent="0.3">
      <c r="C35" s="65" t="s">
        <v>60</v>
      </c>
      <c r="D35" s="95">
        <f>G21</f>
        <v>95</v>
      </c>
      <c r="E35" s="95"/>
      <c r="F35" s="96"/>
      <c r="G35" s="55" t="str">
        <f>IF(AND(D35&gt;Parametros!$C$15,D35&lt;=Parametros!$D$15),"DEFICIENTE",IF(AND(D35&gt;Parametros!$C$16,D35&lt;=Parametros!$D$16),"NECESITA MEJORAS",IF(AND(D35&gt;Parametros!$C$17,D35&lt;=Parametros!$D$17),"SATISFACTORIO")))</f>
        <v>SATISFACTORIO</v>
      </c>
    </row>
    <row r="36" spans="2:7" x14ac:dyDescent="0.25">
      <c r="C36" s="66" t="s">
        <v>24</v>
      </c>
    </row>
    <row r="37" spans="2:7" x14ac:dyDescent="0.25">
      <c r="C37" s="66" t="s">
        <v>33</v>
      </c>
      <c r="D37" s="64"/>
      <c r="E37" s="64"/>
    </row>
    <row r="38" spans="2:7" x14ac:dyDescent="0.25">
      <c r="C38" s="66" t="s">
        <v>34</v>
      </c>
      <c r="D38" s="64"/>
      <c r="E38" s="64"/>
    </row>
    <row r="39" spans="2:7" x14ac:dyDescent="0.25">
      <c r="D39" s="64"/>
      <c r="E39" s="64"/>
    </row>
    <row r="40" spans="2:7" x14ac:dyDescent="0.25">
      <c r="D40" s="64"/>
      <c r="E40" s="64"/>
    </row>
    <row r="42" spans="2:7" x14ac:dyDescent="0.25">
      <c r="C42" s="64"/>
    </row>
    <row r="43" spans="2:7" x14ac:dyDescent="0.25">
      <c r="C43" s="64"/>
    </row>
    <row r="44" spans="2:7" x14ac:dyDescent="0.25">
      <c r="C44" s="64"/>
    </row>
  </sheetData>
  <sheetProtection autoFilter="0" pivotTables="0"/>
  <protectedRanges>
    <protectedRange sqref="B23:B26 D20:G20" name="Rango7"/>
    <protectedRange sqref="D23:G30" name="Rango9"/>
    <protectedRange sqref="F5" name="Rango1_6"/>
    <protectedRange sqref="F11" name="Rango1_7"/>
    <protectedRange sqref="F15" name="Rango1_8"/>
    <protectedRange sqref="G35" name="Rango1_5_1"/>
    <protectedRange sqref="F18" name="Rango1"/>
  </protectedRanges>
  <mergeCells count="19">
    <mergeCell ref="B18:C18"/>
    <mergeCell ref="D35:F35"/>
    <mergeCell ref="B27:G27"/>
    <mergeCell ref="B28:G28"/>
    <mergeCell ref="B29:G29"/>
    <mergeCell ref="B30:G30"/>
    <mergeCell ref="B31:G31"/>
    <mergeCell ref="B32:G32"/>
    <mergeCell ref="B20:C20"/>
    <mergeCell ref="B21:C21"/>
    <mergeCell ref="B23:C23"/>
    <mergeCell ref="D25:G25"/>
    <mergeCell ref="D26:G26"/>
    <mergeCell ref="B15:C15"/>
    <mergeCell ref="B2:G2"/>
    <mergeCell ref="B3:C3"/>
    <mergeCell ref="D3:F3"/>
    <mergeCell ref="B5:C5"/>
    <mergeCell ref="B11:C11"/>
  </mergeCells>
  <dataValidations count="2">
    <dataValidation type="list" allowBlank="1" showInputMessage="1" showErrorMessage="1" sqref="F12:F14 F6:F10 F16:F17" xr:uid="{4DA17028-BAFC-4880-B621-B71496050F31}">
      <formula1>$C$36:$C$38</formula1>
    </dataValidation>
    <dataValidation type="list" allowBlank="1" showInputMessage="1" showErrorMessage="1" sqref="F19" xr:uid="{C3391FF7-BE68-4EA2-8076-EE0052E3076D}">
      <formula1>$C$44:$C$46</formula1>
    </dataValidation>
  </dataValidations>
  <pageMargins left="0.23622047244094491" right="0.23622047244094491" top="0.98425196850393704" bottom="0.98425196850393704" header="0" footer="0"/>
  <pageSetup scale="8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52C-F414-45B4-B09C-26A35F1B79A2}">
  <sheetPr>
    <pageSetUpPr fitToPage="1"/>
  </sheetPr>
  <dimension ref="B1:M43"/>
  <sheetViews>
    <sheetView showGridLines="0" zoomScaleNormal="100" workbookViewId="0">
      <selection activeCell="K5" sqref="K5"/>
    </sheetView>
  </sheetViews>
  <sheetFormatPr baseColWidth="10" defaultColWidth="8.77734375" defaultRowHeight="13.8" x14ac:dyDescent="0.25"/>
  <cols>
    <col min="1" max="1" width="8.77734375" style="23"/>
    <col min="2" max="2" width="5.5546875" style="23" customWidth="1"/>
    <col min="3" max="3" width="60" style="23" customWidth="1"/>
    <col min="4" max="4" width="11.21875" style="23" customWidth="1"/>
    <col min="5" max="5" width="9.44140625" style="23" customWidth="1"/>
    <col min="6" max="6" width="21.5546875" style="23" customWidth="1"/>
    <col min="7" max="7" width="21.109375" style="23" customWidth="1"/>
    <col min="8" max="8" width="10" style="23" customWidth="1"/>
    <col min="9" max="237" width="11.44140625" style="23" customWidth="1"/>
    <col min="238" max="16384" width="8.77734375" style="23"/>
  </cols>
  <sheetData>
    <row r="1" spans="2:13" ht="14.4" thickBot="1" x14ac:dyDescent="0.3"/>
    <row r="2" spans="2:13" ht="96.6" customHeight="1" thickBot="1" x14ac:dyDescent="0.3">
      <c r="B2" s="72" t="s">
        <v>102</v>
      </c>
      <c r="C2" s="73"/>
      <c r="D2" s="73"/>
      <c r="E2" s="73"/>
      <c r="F2" s="73"/>
      <c r="G2" s="74"/>
    </row>
    <row r="3" spans="2:13" ht="33.75" customHeight="1" x14ac:dyDescent="0.25">
      <c r="B3" s="75" t="s">
        <v>3</v>
      </c>
      <c r="C3" s="76"/>
      <c r="D3" s="76" t="s">
        <v>82</v>
      </c>
      <c r="E3" s="76"/>
      <c r="F3" s="77"/>
      <c r="G3" s="56" t="s">
        <v>83</v>
      </c>
    </row>
    <row r="4" spans="2:13" s="20" customFormat="1" ht="27.6" x14ac:dyDescent="0.25">
      <c r="B4" s="34" t="s">
        <v>4</v>
      </c>
      <c r="C4" s="35" t="s">
        <v>57</v>
      </c>
      <c r="D4" s="35" t="s">
        <v>38</v>
      </c>
      <c r="E4" s="35" t="s">
        <v>40</v>
      </c>
      <c r="F4" s="35" t="s">
        <v>41</v>
      </c>
      <c r="G4" s="36" t="s">
        <v>52</v>
      </c>
      <c r="H4" s="37" t="s">
        <v>55</v>
      </c>
      <c r="I4" s="23"/>
      <c r="J4" s="23"/>
      <c r="K4" s="23"/>
    </row>
    <row r="5" spans="2:13" s="20" customFormat="1" ht="33.75" customHeight="1" thickBot="1" x14ac:dyDescent="0.3">
      <c r="B5" s="78" t="s">
        <v>84</v>
      </c>
      <c r="C5" s="79"/>
      <c r="D5" s="69">
        <v>0.47499999999999998</v>
      </c>
      <c r="E5" s="50">
        <f>SUM(E6:E9)</f>
        <v>47.5</v>
      </c>
      <c r="F5" s="51" t="str">
        <f>IF(AND(H5&gt;Parametros!$C$10,H5&lt;Parametros!$D$10),"Critico",IF(AND(H5&gt;Parametros!$C$11,H5&lt;Parametros!$D$11),"Moderado",IF(AND(H5&gt;Parametros!$C$12,H5&lt;=Parametros!$D$12),"Aceptable")))</f>
        <v>Aceptable</v>
      </c>
      <c r="G5" s="52">
        <f>SUM(G6:G9)</f>
        <v>47.5</v>
      </c>
      <c r="H5" s="50">
        <f>G5/E5</f>
        <v>1</v>
      </c>
      <c r="I5" s="23"/>
      <c r="J5" s="23"/>
      <c r="K5" s="23"/>
      <c r="M5" s="57"/>
    </row>
    <row r="6" spans="2:13" ht="42" thickBot="1" x14ac:dyDescent="0.3">
      <c r="B6" s="39" t="s">
        <v>85</v>
      </c>
      <c r="C6" s="40" t="s">
        <v>123</v>
      </c>
      <c r="D6" s="24">
        <v>0.4</v>
      </c>
      <c r="E6" s="22">
        <v>14</v>
      </c>
      <c r="F6" s="58" t="s">
        <v>24</v>
      </c>
      <c r="G6" s="60">
        <f>IF(F6="Aceptable", +(E6*Parametros!$C$7), IF(F6="Moderado", +(E6*Parametros!$C$6), IF(F6="Critico", (E6*Parametros!$C$5))))</f>
        <v>14</v>
      </c>
    </row>
    <row r="7" spans="2:13" ht="34.799999999999997" customHeight="1" thickBot="1" x14ac:dyDescent="0.3">
      <c r="B7" s="39" t="s">
        <v>87</v>
      </c>
      <c r="C7" s="40" t="s">
        <v>88</v>
      </c>
      <c r="D7" s="24">
        <v>0.4</v>
      </c>
      <c r="E7" s="22">
        <v>14</v>
      </c>
      <c r="F7" s="58" t="s">
        <v>24</v>
      </c>
      <c r="G7" s="60">
        <f>IF(F7="Aceptable", +(E7*Parametros!$C$7), IF(F7="Moderado", +(E7*Parametros!$C$6), IF(F7="Critico", (E7*Parametros!$C$5))))</f>
        <v>14</v>
      </c>
    </row>
    <row r="8" spans="2:13" ht="45" customHeight="1" thickBot="1" x14ac:dyDescent="0.3">
      <c r="B8" s="39" t="s">
        <v>89</v>
      </c>
      <c r="C8" s="40" t="s">
        <v>114</v>
      </c>
      <c r="D8" s="24">
        <v>0.1</v>
      </c>
      <c r="E8" s="22">
        <v>10</v>
      </c>
      <c r="F8" s="58" t="s">
        <v>24</v>
      </c>
      <c r="G8" s="60">
        <f>IF(F8="Aceptable", +(E8*Parametros!$C$7), IF(F8="Moderado", +(E8*Parametros!$C$6), IF(F8="Critico", (E8*Parametros!$C$5))))</f>
        <v>10</v>
      </c>
    </row>
    <row r="9" spans="2:13" ht="33.6" customHeight="1" thickBot="1" x14ac:dyDescent="0.3">
      <c r="B9" s="39" t="s">
        <v>109</v>
      </c>
      <c r="C9" s="40" t="s">
        <v>86</v>
      </c>
      <c r="D9" s="24">
        <v>0.1</v>
      </c>
      <c r="E9" s="22">
        <v>9.5</v>
      </c>
      <c r="F9" s="58" t="s">
        <v>24</v>
      </c>
      <c r="G9" s="60">
        <f>IF(F9="Aceptable", +(E9*Parametros!$C$7), IF(F9="Moderado", +(E9*Parametros!$C$6), IF(F9="Critico", (E9*Parametros!$C$5))))</f>
        <v>9.5</v>
      </c>
    </row>
    <row r="10" spans="2:13" ht="34.799999999999997" customHeight="1" thickBot="1" x14ac:dyDescent="0.3">
      <c r="B10" s="78" t="s">
        <v>90</v>
      </c>
      <c r="C10" s="79"/>
      <c r="D10" s="69">
        <v>0.47499999999999998</v>
      </c>
      <c r="E10" s="50">
        <f>SUM(E11:E16)</f>
        <v>47.5</v>
      </c>
      <c r="F10" s="51" t="str">
        <f>IF(AND(H10&gt;Parametros!$C$10,H10&lt;Parametros!$D$10),"Critico",IF(AND(H10&gt;Parametros!$C$11,H10&lt;Parametros!$D$11),"Moderado",IF(AND(H10&gt;Parametros!$C$12,H10&lt;=Parametros!$D$12),"Aceptable")))</f>
        <v>Aceptable</v>
      </c>
      <c r="G10" s="52">
        <f>SUM(G11:G16)</f>
        <v>47.5</v>
      </c>
      <c r="H10" s="50">
        <f>G10/E10</f>
        <v>1</v>
      </c>
    </row>
    <row r="11" spans="2:13" ht="33.6" customHeight="1" thickBot="1" x14ac:dyDescent="0.3">
      <c r="B11" s="39" t="s">
        <v>93</v>
      </c>
      <c r="C11" s="40" t="s">
        <v>91</v>
      </c>
      <c r="D11" s="24">
        <v>0.25</v>
      </c>
      <c r="E11" s="22">
        <v>12</v>
      </c>
      <c r="F11" s="58" t="s">
        <v>24</v>
      </c>
      <c r="G11" s="60">
        <f>IF(F11="Aceptable", +(E11*Parametros!$C$7), IF(F11="Moderado", +(E11*Parametros!$C$6), IF(F11="Critico", (E11*Parametros!$C$5))))</f>
        <v>12</v>
      </c>
    </row>
    <row r="12" spans="2:13" ht="36.6" customHeight="1" thickBot="1" x14ac:dyDescent="0.3">
      <c r="B12" s="39" t="s">
        <v>94</v>
      </c>
      <c r="C12" s="40" t="s">
        <v>98</v>
      </c>
      <c r="D12" s="24">
        <v>0.25</v>
      </c>
      <c r="E12" s="22">
        <v>12</v>
      </c>
      <c r="F12" s="58" t="s">
        <v>24</v>
      </c>
      <c r="G12" s="60">
        <f>IF(F12="Aceptable", +(E12*Parametros!$C$7), IF(F12="Moderado", +(E12*Parametros!$C$6), IF(F12="Critico", (E12*Parametros!$C$5))))</f>
        <v>12</v>
      </c>
    </row>
    <row r="13" spans="2:13" ht="45.6" customHeight="1" thickBot="1" x14ac:dyDescent="0.3">
      <c r="B13" s="39" t="s">
        <v>95</v>
      </c>
      <c r="C13" s="40" t="s">
        <v>99</v>
      </c>
      <c r="D13" s="24">
        <v>0.25</v>
      </c>
      <c r="E13" s="22">
        <v>12</v>
      </c>
      <c r="F13" s="58" t="s">
        <v>24</v>
      </c>
      <c r="G13" s="60">
        <f>IF(F13="Aceptable", +(E13*Parametros!$C$7), IF(F13="Moderado", +(E13*Parametros!$C$6), IF(F13="Critico", (E13*Parametros!$C$5))))</f>
        <v>12</v>
      </c>
    </row>
    <row r="14" spans="2:13" ht="31.2" customHeight="1" thickBot="1" x14ac:dyDescent="0.3">
      <c r="B14" s="39" t="s">
        <v>115</v>
      </c>
      <c r="C14" s="40" t="s">
        <v>92</v>
      </c>
      <c r="D14" s="24">
        <v>0.1</v>
      </c>
      <c r="E14" s="22">
        <v>5</v>
      </c>
      <c r="F14" s="58" t="s">
        <v>24</v>
      </c>
      <c r="G14" s="60">
        <f>IF(F14="Aceptable", +(E14*Parametros!$C$7), IF(F14="Moderado", +(E14*Parametros!$C$6), IF(F14="Critico", (E14*Parametros!$C$5))))</f>
        <v>5</v>
      </c>
    </row>
    <row r="15" spans="2:13" ht="33" customHeight="1" thickBot="1" x14ac:dyDescent="0.3">
      <c r="B15" s="39" t="s">
        <v>116</v>
      </c>
      <c r="C15" s="40" t="s">
        <v>96</v>
      </c>
      <c r="D15" s="24">
        <v>0.1</v>
      </c>
      <c r="E15" s="22">
        <v>5</v>
      </c>
      <c r="F15" s="58" t="s">
        <v>24</v>
      </c>
      <c r="G15" s="60">
        <f>IF(F15="Aceptable", +(E15*Parametros!$C$7), IF(F15="Moderado", +(E15*Parametros!$C$6), IF(F15="Critico", (E15*Parametros!$C$5))))</f>
        <v>5</v>
      </c>
    </row>
    <row r="16" spans="2:13" ht="36" customHeight="1" thickBot="1" x14ac:dyDescent="0.3">
      <c r="B16" s="39" t="s">
        <v>117</v>
      </c>
      <c r="C16" s="40" t="s">
        <v>97</v>
      </c>
      <c r="D16" s="24">
        <v>0.05</v>
      </c>
      <c r="E16" s="22">
        <v>1.5</v>
      </c>
      <c r="F16" s="58" t="s">
        <v>24</v>
      </c>
      <c r="G16" s="60">
        <f>IF(F16="Aceptable", +(E16*Parametros!$C$7), IF(F16="Moderado", +(E16*Parametros!$C$6), IF(F16="Critico", (E16*Parametros!$C$5))))</f>
        <v>1.5</v>
      </c>
    </row>
    <row r="17" spans="2:8" ht="36" customHeight="1" thickBot="1" x14ac:dyDescent="0.3">
      <c r="B17" s="70" t="s">
        <v>153</v>
      </c>
      <c r="C17" s="71"/>
      <c r="D17" s="49">
        <v>0.05</v>
      </c>
      <c r="E17" s="50">
        <f>E18</f>
        <v>5</v>
      </c>
      <c r="F17" s="51" t="str">
        <f>IF(AND(H17&gt;Parametros!$C$10,H17&lt;Parametros!$D$10),"Critico",IF(AND(H17&gt;Parametros!$C$11,H17&lt;Parametros!$D$11),"Moderado",IF(AND(H17&gt;Parametros!$C$12,H17&lt;=Parametros!$D$12),"Aceptable")))</f>
        <v>Critico</v>
      </c>
      <c r="G17" s="52">
        <f>SUM(G18)</f>
        <v>1.5</v>
      </c>
      <c r="H17" s="50">
        <f>G17/E17</f>
        <v>0.3</v>
      </c>
    </row>
    <row r="18" spans="2:8" ht="36" customHeight="1" thickBot="1" x14ac:dyDescent="0.3">
      <c r="B18" s="39" t="s">
        <v>152</v>
      </c>
      <c r="C18" s="40" t="s">
        <v>151</v>
      </c>
      <c r="D18" s="24">
        <v>1</v>
      </c>
      <c r="E18" s="22">
        <v>5</v>
      </c>
      <c r="F18" s="58" t="s">
        <v>34</v>
      </c>
      <c r="G18" s="60">
        <f>IF(F18="Aceptable", +(E18*Parametros!$C$7), IF(F18="Moderado", +(E18*Parametros!$C$6), IF(F18="Critico", (E18*Parametros!$C$5))))</f>
        <v>1.5</v>
      </c>
    </row>
    <row r="19" spans="2:8" x14ac:dyDescent="0.25">
      <c r="B19" s="80"/>
      <c r="C19" s="81"/>
      <c r="D19" s="49">
        <f>D5+D10+D17</f>
        <v>1</v>
      </c>
      <c r="E19" s="50">
        <f>E5+E10+E17</f>
        <v>100</v>
      </c>
      <c r="F19" s="31"/>
      <c r="G19" s="32"/>
    </row>
    <row r="20" spans="2:8" ht="27.6" customHeight="1" x14ac:dyDescent="0.25">
      <c r="B20" s="82" t="s">
        <v>0</v>
      </c>
      <c r="C20" s="83"/>
      <c r="D20" s="38"/>
      <c r="E20" s="38"/>
      <c r="F20" s="38"/>
      <c r="G20" s="52">
        <f>G5+G10</f>
        <v>95</v>
      </c>
      <c r="H20" s="33"/>
    </row>
    <row r="21" spans="2:8" ht="27.6" customHeight="1" x14ac:dyDescent="0.25">
      <c r="B21" s="61"/>
      <c r="C21" s="62"/>
      <c r="D21" s="38"/>
      <c r="E21" s="38"/>
      <c r="F21" s="38"/>
      <c r="G21" s="41"/>
      <c r="H21" s="33"/>
    </row>
    <row r="22" spans="2:8" ht="55.2" customHeight="1" thickBot="1" x14ac:dyDescent="0.3">
      <c r="B22" s="84" t="s">
        <v>51</v>
      </c>
      <c r="C22" s="85"/>
      <c r="D22" s="42"/>
      <c r="E22" s="42"/>
      <c r="F22" s="45"/>
      <c r="G22" s="46"/>
    </row>
    <row r="23" spans="2:8" ht="24.6" customHeight="1" thickBot="1" x14ac:dyDescent="0.3">
      <c r="B23" s="44"/>
      <c r="C23" s="47"/>
      <c r="D23" s="42"/>
      <c r="E23" s="42"/>
      <c r="F23" s="42"/>
      <c r="G23" s="43"/>
    </row>
    <row r="24" spans="2:8" x14ac:dyDescent="0.25">
      <c r="B24" s="31"/>
      <c r="D24" s="86"/>
      <c r="E24" s="86"/>
      <c r="F24" s="86"/>
      <c r="G24" s="86"/>
    </row>
    <row r="25" spans="2:8" x14ac:dyDescent="0.25">
      <c r="B25" s="31"/>
      <c r="D25" s="86"/>
      <c r="E25" s="86"/>
      <c r="F25" s="86"/>
      <c r="G25" s="86"/>
    </row>
    <row r="26" spans="2:8" ht="24" customHeight="1" x14ac:dyDescent="0.25">
      <c r="B26" s="89" t="s">
        <v>23</v>
      </c>
      <c r="C26" s="90"/>
      <c r="D26" s="90"/>
      <c r="E26" s="90"/>
      <c r="F26" s="90"/>
      <c r="G26" s="91"/>
    </row>
    <row r="27" spans="2:8" x14ac:dyDescent="0.25">
      <c r="B27" s="92">
        <v>1</v>
      </c>
      <c r="C27" s="93"/>
      <c r="D27" s="93"/>
      <c r="E27" s="93"/>
      <c r="F27" s="93"/>
      <c r="G27" s="94"/>
    </row>
    <row r="28" spans="2:8" x14ac:dyDescent="0.25">
      <c r="B28" s="92">
        <v>2</v>
      </c>
      <c r="C28" s="93"/>
      <c r="D28" s="93"/>
      <c r="E28" s="93"/>
      <c r="F28" s="93"/>
      <c r="G28" s="94"/>
    </row>
    <row r="29" spans="2:8" x14ac:dyDescent="0.25">
      <c r="B29" s="92">
        <v>3</v>
      </c>
      <c r="C29" s="93"/>
      <c r="D29" s="93"/>
      <c r="E29" s="93"/>
      <c r="F29" s="93"/>
      <c r="G29" s="94"/>
    </row>
    <row r="30" spans="2:8" x14ac:dyDescent="0.25">
      <c r="B30" s="92">
        <v>4</v>
      </c>
      <c r="C30" s="93"/>
      <c r="D30" s="93"/>
      <c r="E30" s="93"/>
      <c r="F30" s="93"/>
      <c r="G30" s="94"/>
    </row>
    <row r="31" spans="2:8" x14ac:dyDescent="0.25">
      <c r="B31" s="92">
        <v>5</v>
      </c>
      <c r="C31" s="93"/>
      <c r="D31" s="93"/>
      <c r="E31" s="93"/>
      <c r="F31" s="93"/>
      <c r="G31" s="94"/>
    </row>
    <row r="32" spans="2:8" x14ac:dyDescent="0.25">
      <c r="B32" s="63"/>
      <c r="D32" s="64"/>
      <c r="E32" s="64"/>
    </row>
    <row r="33" spans="3:7" ht="14.4" thickBot="1" x14ac:dyDescent="0.3">
      <c r="C33" s="67"/>
      <c r="D33" s="64"/>
      <c r="E33" s="64"/>
    </row>
    <row r="34" spans="3:7" ht="40.200000000000003" customHeight="1" thickBot="1" x14ac:dyDescent="0.3">
      <c r="C34" s="65" t="s">
        <v>60</v>
      </c>
      <c r="D34" s="95">
        <f>G20</f>
        <v>95</v>
      </c>
      <c r="E34" s="102"/>
      <c r="F34" s="102"/>
      <c r="G34" s="55" t="str">
        <f>IF(AND(D34&gt;Parametros!$C$15,D34&lt;=Parametros!$D$15),"DEFICIENTE",IF(AND(D34&gt;Parametros!$C$16,D34&lt;=Parametros!$D$16),"NECESITA MEJORAS",IF(AND(D34&gt;Parametros!$C$17,D34&lt;=Parametros!$D$17),"SATISFACTORIO")))</f>
        <v>SATISFACTORIO</v>
      </c>
    </row>
    <row r="35" spans="3:7" x14ac:dyDescent="0.25">
      <c r="C35" s="66" t="s">
        <v>24</v>
      </c>
    </row>
    <row r="36" spans="3:7" x14ac:dyDescent="0.25">
      <c r="C36" s="66" t="s">
        <v>33</v>
      </c>
      <c r="D36" s="64"/>
      <c r="E36" s="64"/>
    </row>
    <row r="37" spans="3:7" x14ac:dyDescent="0.25">
      <c r="C37" s="66" t="s">
        <v>34</v>
      </c>
      <c r="D37" s="64"/>
      <c r="E37" s="64"/>
    </row>
    <row r="38" spans="3:7" x14ac:dyDescent="0.25">
      <c r="D38" s="64"/>
      <c r="E38" s="64"/>
    </row>
    <row r="39" spans="3:7" x14ac:dyDescent="0.25">
      <c r="D39" s="64"/>
      <c r="E39" s="64"/>
    </row>
    <row r="41" spans="3:7" x14ac:dyDescent="0.25">
      <c r="C41" s="64"/>
    </row>
    <row r="42" spans="3:7" x14ac:dyDescent="0.25">
      <c r="C42" s="64"/>
    </row>
    <row r="43" spans="3:7" x14ac:dyDescent="0.25">
      <c r="C43" s="64"/>
    </row>
  </sheetData>
  <sheetProtection autoFilter="0" pivotTables="0"/>
  <protectedRanges>
    <protectedRange sqref="B22:B25 D19:G19" name="Rango7"/>
    <protectedRange sqref="J5 D3:G3 D5:E5 C4:F4 D10:E10 B3:B5" name="Rango1"/>
    <protectedRange sqref="D22:G29" name="Rango9"/>
    <protectedRange sqref="F5" name="Rango1_1"/>
    <protectedRange sqref="F10" name="Rango1_2"/>
    <protectedRange sqref="G34" name="Rango1_5_1"/>
    <protectedRange sqref="F17" name="Rango1_3"/>
  </protectedRanges>
  <mergeCells count="18">
    <mergeCell ref="B17:C17"/>
    <mergeCell ref="D34:F34"/>
    <mergeCell ref="B19:C19"/>
    <mergeCell ref="B20:C20"/>
    <mergeCell ref="B22:C22"/>
    <mergeCell ref="D24:G24"/>
    <mergeCell ref="D25:G25"/>
    <mergeCell ref="B26:G26"/>
    <mergeCell ref="B27:G27"/>
    <mergeCell ref="B28:G28"/>
    <mergeCell ref="B29:G29"/>
    <mergeCell ref="B30:G30"/>
    <mergeCell ref="B31:G31"/>
    <mergeCell ref="B2:G2"/>
    <mergeCell ref="B3:C3"/>
    <mergeCell ref="D3:F3"/>
    <mergeCell ref="B5:C5"/>
    <mergeCell ref="B10:C10"/>
  </mergeCells>
  <phoneticPr fontId="3" type="noConversion"/>
  <dataValidations count="2">
    <dataValidation type="list" allowBlank="1" showInputMessage="1" showErrorMessage="1" sqref="F6:F9 F11:F16" xr:uid="{FB0BEC1C-F863-4CB3-AD4E-766053AFAE6F}">
      <formula1>$C$35:$C$37</formula1>
    </dataValidation>
    <dataValidation type="list" allowBlank="1" showInputMessage="1" showErrorMessage="1" sqref="F18" xr:uid="{1B8C0CEE-534B-4F9F-895E-76E0DF07E2E9}">
      <formula1>$C$44:$C$46</formula1>
    </dataValidation>
  </dataValidations>
  <pageMargins left="0.23622047244094491" right="0.23622047244094491" top="0.98425196850393704" bottom="0.98425196850393704" header="0" footer="0"/>
  <pageSetup scale="8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6E8A-A90F-452E-BB23-B6D3042D5F93}">
  <dimension ref="B4:D17"/>
  <sheetViews>
    <sheetView showGridLines="0" workbookViewId="0">
      <selection activeCell="D16" sqref="D16"/>
    </sheetView>
  </sheetViews>
  <sheetFormatPr baseColWidth="10" defaultRowHeight="13.2" x14ac:dyDescent="0.25"/>
  <cols>
    <col min="2" max="2" width="31.44140625" bestFit="1" customWidth="1"/>
    <col min="3" max="3" width="17.44140625" customWidth="1"/>
    <col min="4" max="4" width="19.5546875" customWidth="1"/>
  </cols>
  <sheetData>
    <row r="4" spans="2:4" ht="14.4" x14ac:dyDescent="0.3">
      <c r="B4" s="7" t="s">
        <v>49</v>
      </c>
      <c r="C4" s="8" t="s">
        <v>42</v>
      </c>
      <c r="D4" s="1"/>
    </row>
    <row r="5" spans="2:4" ht="14.4" x14ac:dyDescent="0.3">
      <c r="B5" s="6" t="s">
        <v>34</v>
      </c>
      <c r="C5" s="2">
        <v>0.3</v>
      </c>
      <c r="D5" s="1"/>
    </row>
    <row r="6" spans="2:4" ht="14.4" x14ac:dyDescent="0.3">
      <c r="B6" s="5" t="s">
        <v>33</v>
      </c>
      <c r="C6" s="2">
        <v>0.7</v>
      </c>
      <c r="D6" s="1"/>
    </row>
    <row r="7" spans="2:4" ht="14.4" x14ac:dyDescent="0.3">
      <c r="B7" s="4" t="s">
        <v>24</v>
      </c>
      <c r="C7" s="2">
        <v>1</v>
      </c>
      <c r="D7" s="1"/>
    </row>
    <row r="8" spans="2:4" ht="14.4" x14ac:dyDescent="0.3">
      <c r="B8" s="26"/>
      <c r="C8" s="27"/>
      <c r="D8" s="28"/>
    </row>
    <row r="9" spans="2:4" ht="14.4" x14ac:dyDescent="0.3">
      <c r="B9" s="7" t="s">
        <v>44</v>
      </c>
      <c r="C9" s="7" t="s">
        <v>45</v>
      </c>
      <c r="D9" s="7" t="s">
        <v>46</v>
      </c>
    </row>
    <row r="10" spans="2:4" ht="14.4" x14ac:dyDescent="0.3">
      <c r="B10" s="6" t="s">
        <v>34</v>
      </c>
      <c r="C10" s="25">
        <v>0.01</v>
      </c>
      <c r="D10" s="25">
        <v>0.6</v>
      </c>
    </row>
    <row r="11" spans="2:4" ht="14.4" x14ac:dyDescent="0.3">
      <c r="B11" s="5" t="s">
        <v>33</v>
      </c>
      <c r="C11" s="25">
        <v>0.61</v>
      </c>
      <c r="D11" s="25">
        <v>0.8</v>
      </c>
    </row>
    <row r="12" spans="2:4" ht="14.4" x14ac:dyDescent="0.3">
      <c r="B12" s="4" t="s">
        <v>24</v>
      </c>
      <c r="C12" s="25">
        <v>0.81</v>
      </c>
      <c r="D12" s="54">
        <v>1</v>
      </c>
    </row>
    <row r="13" spans="2:4" ht="14.4" x14ac:dyDescent="0.3">
      <c r="B13" s="3"/>
      <c r="C13" s="3"/>
      <c r="D13" s="3"/>
    </row>
    <row r="14" spans="2:4" ht="14.4" x14ac:dyDescent="0.3">
      <c r="B14" s="7" t="s">
        <v>50</v>
      </c>
      <c r="C14" s="7" t="s">
        <v>45</v>
      </c>
      <c r="D14" s="7" t="s">
        <v>46</v>
      </c>
    </row>
    <row r="15" spans="2:4" ht="14.4" x14ac:dyDescent="0.3">
      <c r="B15" s="6" t="s">
        <v>48</v>
      </c>
      <c r="C15" s="48">
        <v>1</v>
      </c>
      <c r="D15" s="48">
        <v>40</v>
      </c>
    </row>
    <row r="16" spans="2:4" ht="14.4" x14ac:dyDescent="0.3">
      <c r="B16" s="9" t="s">
        <v>43</v>
      </c>
      <c r="C16" s="48">
        <v>41</v>
      </c>
      <c r="D16" s="48">
        <v>80</v>
      </c>
    </row>
    <row r="17" spans="2:4" ht="14.4" x14ac:dyDescent="0.3">
      <c r="B17" s="10" t="s">
        <v>47</v>
      </c>
      <c r="C17" s="48">
        <v>81</v>
      </c>
      <c r="D17" s="5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5A4A-DB4A-43F4-AD9F-5B1DB91A0726}">
  <dimension ref="A9:D12"/>
  <sheetViews>
    <sheetView showGridLines="0" workbookViewId="0">
      <selection activeCell="D10" sqref="D10"/>
    </sheetView>
  </sheetViews>
  <sheetFormatPr baseColWidth="10" defaultRowHeight="13.8" x14ac:dyDescent="0.3"/>
  <cols>
    <col min="1" max="1" width="15.6640625" style="11" customWidth="1"/>
    <col min="2" max="2" width="23.33203125" style="12" customWidth="1"/>
    <col min="3" max="3" width="59.5546875" style="11" customWidth="1"/>
    <col min="4" max="4" width="79.77734375" style="11" customWidth="1"/>
    <col min="5" max="5" width="43.77734375" style="11" customWidth="1"/>
    <col min="6" max="16384" width="11.5546875" style="11"/>
  </cols>
  <sheetData>
    <row r="9" spans="1:4" s="13" customFormat="1" x14ac:dyDescent="0.3">
      <c r="B9" s="14" t="s">
        <v>25</v>
      </c>
      <c r="C9" s="14" t="s">
        <v>26</v>
      </c>
      <c r="D9" s="13" t="s">
        <v>53</v>
      </c>
    </row>
    <row r="10" spans="1:4" ht="69" x14ac:dyDescent="0.3">
      <c r="A10" s="103" t="s">
        <v>35</v>
      </c>
      <c r="B10" s="15" t="s">
        <v>27</v>
      </c>
      <c r="C10" s="16" t="s">
        <v>30</v>
      </c>
      <c r="D10" s="29" t="s">
        <v>37</v>
      </c>
    </row>
    <row r="11" spans="1:4" ht="69" x14ac:dyDescent="0.3">
      <c r="A11" s="103"/>
      <c r="B11" s="17" t="s">
        <v>28</v>
      </c>
      <c r="C11" s="18" t="s">
        <v>31</v>
      </c>
      <c r="D11" s="30" t="s">
        <v>36</v>
      </c>
    </row>
    <row r="12" spans="1:4" ht="69" x14ac:dyDescent="0.3">
      <c r="A12" s="103"/>
      <c r="B12" s="19" t="s">
        <v>29</v>
      </c>
      <c r="C12" s="16" t="s">
        <v>32</v>
      </c>
      <c r="D12" s="29" t="s">
        <v>39</v>
      </c>
    </row>
  </sheetData>
  <mergeCells count="1">
    <mergeCell ref="A10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Consolidado</vt:lpstr>
      <vt:lpstr>Petshop</vt:lpstr>
      <vt:lpstr>Grooming</vt:lpstr>
      <vt:lpstr>Clinica</vt:lpstr>
      <vt:lpstr>Parametros</vt:lpstr>
      <vt:lpstr>Riesgo</vt:lpstr>
      <vt:lpstr>Clinica!Área_de_impresión</vt:lpstr>
      <vt:lpstr>Consolidado!Área_de_impresión</vt:lpstr>
      <vt:lpstr>Grooming!Área_de_impresión</vt:lpstr>
      <vt:lpstr>Petshop!Área_de_impresión</vt:lpstr>
    </vt:vector>
  </TitlesOfParts>
  <Company>Argos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YRODRIGUEZ</dc:creator>
  <cp:lastModifiedBy>Black Dog</cp:lastModifiedBy>
  <cp:lastPrinted>2025-12-15T19:35:49Z</cp:lastPrinted>
  <dcterms:created xsi:type="dcterms:W3CDTF">2009-02-09T19:24:43Z</dcterms:created>
  <dcterms:modified xsi:type="dcterms:W3CDTF">2025-12-15T21:30:51Z</dcterms:modified>
</cp:coreProperties>
</file>